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11"/>
  <workbookPr defaultThemeVersion="166925"/>
  <mc:AlternateContent xmlns:mc="http://schemas.openxmlformats.org/markup-compatibility/2006">
    <mc:Choice Requires="x15">
      <x15ac:absPath xmlns:x15ac="http://schemas.microsoft.com/office/spreadsheetml/2010/11/ac" url="L:\9792\DF Fin Esp y Activo\CONVENIOS\Operativa\Implantación\2022\BEI\BEI - Agro Andalucía\Requerimientos\"/>
    </mc:Choice>
  </mc:AlternateContent>
  <xr:revisionPtr revIDLastSave="0" documentId="8_{D17BD474-FEE1-4AD4-A35A-F05B526CF1F3}" xr6:coauthVersionLast="47" xr6:coauthVersionMax="47" xr10:uidLastSave="{00000000-0000-0000-0000-000000000000}"/>
  <bookViews>
    <workbookView xWindow="-120" yWindow="-120" windowWidth="29040" windowHeight="15840" xr2:uid="{00000000-000D-0000-FFFF-FFFF00000000}"/>
  </bookViews>
  <sheets>
    <sheet name="Segmento NO PYME" sheetId="8" r:id="rId1"/>
    <sheet name="Flujo" sheetId="1" r:id="rId2"/>
    <sheet name="(ES) Ejemplo formula de minimis" sheetId="3" r:id="rId3"/>
    <sheet name="Ejemplo prima refugio" sheetId="4" r:id="rId4"/>
    <sheet name="CNAE_Anexo1" sheetId="2" r:id="rId5"/>
  </sheets>
  <externalReferences>
    <externalReference r:id="rId6"/>
    <externalReference r:id="rId7"/>
  </externalReferences>
  <definedNames>
    <definedName name="_xlnm._FilterDatabase" localSheetId="1" hidden="1">Flujo!$B$2:$I$10</definedName>
    <definedName name="_xlnm.Print_Area" localSheetId="3">'Ejemplo prima refugio'!$B$5:$H$26</definedName>
    <definedName name="Beg_Bal">#REF!</definedName>
    <definedName name="Beginning_Balance">-FV(Interest_Rate/12,Payment_Number-1,-Monthly_Payment,Loan_Amount)</definedName>
    <definedName name="Cum_Int">#REF!</definedName>
    <definedName name="Data">#REF!</definedName>
    <definedName name="End_Bal">#REF!</definedName>
    <definedName name="Ending_Balance">-FV(Interest_Rate/12,Payment_Number,-Monthly_Payment,Loan_Amount)</definedName>
    <definedName name="Extra_Pay">#REF!</definedName>
    <definedName name="Full_Print">#REF!</definedName>
    <definedName name="Gantt_Chart">#REF!</definedName>
    <definedName name="GanttChart">'[1]Weekly Gantt Chart'!$A$113:$BB$170</definedName>
    <definedName name="Header_Row">ROW('[2]Loan Calculator'!$A$15:$IV$15)</definedName>
    <definedName name="Header_Row_Back">ROW(#REF!)</definedName>
    <definedName name="Input_Area">#REF!</definedName>
    <definedName name="InputArea">'[1]Weekly Gantt Chart'!$A$3:$D$36</definedName>
    <definedName name="Int">#REF!</definedName>
    <definedName name="Interest">-IPMT(Interest_Rate/12,Payment_Number,Number_of_Payments,Loan_Amount)</definedName>
    <definedName name="Interest_Rate">'[2]Loan Calculator'!$E$5</definedName>
    <definedName name="Last_Row">IF(Values_Entered,Header_Row+Number_of_Payments,Header_Row)</definedName>
    <definedName name="Loan_Amount">'[2]Loan Calculator'!$E$4</definedName>
    <definedName name="Loan_Not_Paid">IF(Payment_Number&lt;=Number_of_Payments,1,0)</definedName>
    <definedName name="Loan_Start">'[2]Loan Calculator'!$E$7</definedName>
    <definedName name="Loan_Years">'[2]Loan Calculator'!$E$6</definedName>
    <definedName name="Monthly_Payment">-PMT(Interest_Rate/12,Number_of_Payments,Loan_Amount)</definedName>
    <definedName name="Num_Pmt_Per_Year">#REF!</definedName>
    <definedName name="Number_of_Payments">'[2]Loan Calculator'!$E$10</definedName>
    <definedName name="Pay_Date">#REF!</definedName>
    <definedName name="Pay_Num">#REF!</definedName>
    <definedName name="Payment_Date">DATE(YEAR(Loan_Start),MONTH(Loan_Start)+Payment_Number,DAY(Loan_Start))</definedName>
    <definedName name="Payment_Number">ROW()-Header_Row</definedName>
    <definedName name="PayPeriods">OFFSET(#REF!,0,0,MAX(#REF!),1)</definedName>
    <definedName name="Princ">#REF!</definedName>
    <definedName name="Principal">-PPMT(Interest_Rate/12,Payment_Number,Number_of_Payments,Loan_Amount)</definedName>
    <definedName name="Print_Area_Reset">OFFSET([0]!Full_Print,0,0,[0]!Last_Row)</definedName>
    <definedName name="Sched_Pay">#REF!</definedName>
    <definedName name="Scheduled_Extra_Payments">#REF!</definedName>
    <definedName name="Scheduled_Interest_Rate">#REF!</definedName>
    <definedName name="Scheduled_Monthly_Payment">#REF!</definedName>
    <definedName name="Total_Cost">#REF!</definedName>
    <definedName name="Total_Interest">#REF!</definedName>
    <definedName name="Total_Pay">#REF!</definedName>
    <definedName name="Values_Entered">IF(Loan_Amount*Interest_Rate*Loan_Years*Loan_Start&gt;0,1,0)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8" l="1"/>
  <c r="B10" i="8" s="1"/>
  <c r="B7" i="8"/>
  <c r="F91" i="4"/>
  <c r="F90" i="4"/>
  <c r="C22" i="4"/>
  <c r="C20" i="4" l="1"/>
  <c r="D20" i="4" s="1"/>
  <c r="M35" i="4"/>
  <c r="C23" i="4"/>
  <c r="C24" i="4"/>
  <c r="M34" i="4"/>
  <c r="B36" i="4"/>
  <c r="C6" i="3"/>
  <c r="C10" i="3" s="1"/>
  <c r="C14" i="3"/>
  <c r="C15" i="3"/>
  <c r="C16" i="3"/>
  <c r="H34" i="4" l="1"/>
  <c r="C19" i="3"/>
  <c r="I29" i="4"/>
  <c r="B37" i="4"/>
  <c r="M36" i="4"/>
  <c r="C21" i="4"/>
  <c r="C11" i="3"/>
  <c r="E29" i="4" l="1"/>
  <c r="D34" i="4" a="1"/>
  <c r="D34" i="4" s="1"/>
  <c r="G34" i="4"/>
  <c r="I34" i="4" s="1"/>
  <c r="M37" i="4"/>
  <c r="B38" i="4"/>
  <c r="I35" i="4" l="1"/>
  <c r="H35" i="4"/>
  <c r="G35" i="4" s="1"/>
  <c r="H36" i="4" s="1"/>
  <c r="G36" i="4" s="1"/>
  <c r="C34" i="4"/>
  <c r="K34" i="4"/>
  <c r="L34" i="4" s="1"/>
  <c r="B39" i="4"/>
  <c r="M38" i="4"/>
  <c r="I36" i="4" l="1"/>
  <c r="D35" i="4" a="1"/>
  <c r="D35" i="4" s="1"/>
  <c r="E34" i="4"/>
  <c r="E35" i="4"/>
  <c r="B40" i="4"/>
  <c r="M39" i="4"/>
  <c r="I37" i="4"/>
  <c r="H37" i="4"/>
  <c r="G37" i="4" s="1"/>
  <c r="B41" i="4" l="1"/>
  <c r="M40" i="4"/>
  <c r="K35" i="4"/>
  <c r="L35" i="4" s="1"/>
  <c r="C35" i="4"/>
  <c r="H38" i="4"/>
  <c r="G38" i="4" s="1"/>
  <c r="I39" i="4" s="1"/>
  <c r="I38" i="4"/>
  <c r="M41" i="4" l="1"/>
  <c r="B42" i="4"/>
  <c r="D36" i="4" a="1"/>
  <c r="D36" i="4" s="1"/>
  <c r="E36" i="4"/>
  <c r="H39" i="4"/>
  <c r="G39" i="4" s="1"/>
  <c r="K36" i="4" l="1"/>
  <c r="L36" i="4" s="1"/>
  <c r="C36" i="4"/>
  <c r="M42" i="4"/>
  <c r="B43" i="4"/>
  <c r="H40" i="4"/>
  <c r="G40" i="4" s="1"/>
  <c r="I41" i="4" s="1"/>
  <c r="I40" i="4"/>
  <c r="E37" i="4" l="1"/>
  <c r="D37" i="4" a="1"/>
  <c r="D37" i="4" s="1"/>
  <c r="H41" i="4"/>
  <c r="G41" i="4" s="1"/>
  <c r="M43" i="4"/>
  <c r="B44" i="4"/>
  <c r="M44" i="4" l="1"/>
  <c r="B45" i="4"/>
  <c r="K37" i="4"/>
  <c r="L37" i="4" s="1"/>
  <c r="C37" i="4"/>
  <c r="I42" i="4"/>
  <c r="H42" i="4"/>
  <c r="G42" i="4" s="1"/>
  <c r="H43" i="4" s="1"/>
  <c r="G43" i="4" s="1"/>
  <c r="I43" i="4" l="1"/>
  <c r="E38" i="4"/>
  <c r="D38" i="4" a="1"/>
  <c r="D38" i="4" s="1"/>
  <c r="I44" i="4"/>
  <c r="H44" i="4"/>
  <c r="G44" i="4" s="1"/>
  <c r="M45" i="4"/>
  <c r="B46" i="4"/>
  <c r="H45" i="4" l="1"/>
  <c r="G45" i="4" s="1"/>
  <c r="I45" i="4"/>
  <c r="K38" i="4"/>
  <c r="L38" i="4" s="1"/>
  <c r="C38" i="4"/>
  <c r="B47" i="4"/>
  <c r="M46" i="4"/>
  <c r="M47" i="4" l="1"/>
  <c r="B48" i="4"/>
  <c r="E39" i="4"/>
  <c r="D39" i="4" a="1"/>
  <c r="D39" i="4" s="1"/>
  <c r="I46" i="4"/>
  <c r="H46" i="4"/>
  <c r="G46" i="4" s="1"/>
  <c r="H47" i="4" s="1"/>
  <c r="G47" i="4" s="1"/>
  <c r="I47" i="4" l="1"/>
  <c r="K39" i="4"/>
  <c r="L39" i="4" s="1"/>
  <c r="C39" i="4"/>
  <c r="I48" i="4"/>
  <c r="H48" i="4"/>
  <c r="G48" i="4" s="1"/>
  <c r="B49" i="4"/>
  <c r="M48" i="4"/>
  <c r="M49" i="4" l="1"/>
  <c r="B50" i="4"/>
  <c r="I49" i="4"/>
  <c r="H49" i="4"/>
  <c r="G49" i="4" s="1"/>
  <c r="D40" i="4" a="1"/>
  <c r="D40" i="4" s="1"/>
  <c r="E40" i="4"/>
  <c r="H50" i="4" l="1"/>
  <c r="G50" i="4" s="1"/>
  <c r="I50" i="4"/>
  <c r="M50" i="4"/>
  <c r="B51" i="4"/>
  <c r="K40" i="4"/>
  <c r="L40" i="4" s="1"/>
  <c r="C40" i="4"/>
  <c r="M51" i="4" l="1"/>
  <c r="B52" i="4"/>
  <c r="D41" i="4" a="1"/>
  <c r="D41" i="4" s="1"/>
  <c r="E41" i="4"/>
  <c r="I51" i="4"/>
  <c r="H51" i="4"/>
  <c r="G51" i="4" s="1"/>
  <c r="M52" i="4" l="1"/>
  <c r="B53" i="4"/>
  <c r="K41" i="4"/>
  <c r="L41" i="4" s="1"/>
  <c r="C41" i="4"/>
  <c r="H52" i="4"/>
  <c r="G52" i="4" s="1"/>
  <c r="I52" i="4"/>
  <c r="D42" i="4" l="1" a="1"/>
  <c r="D42" i="4" s="1"/>
  <c r="E42" i="4"/>
  <c r="H53" i="4"/>
  <c r="I53" i="4"/>
  <c r="G53" i="4"/>
  <c r="M53" i="4"/>
  <c r="B54" i="4"/>
  <c r="H54" i="4" l="1"/>
  <c r="G54" i="4" s="1"/>
  <c r="I54" i="4"/>
  <c r="B55" i="4"/>
  <c r="M54" i="4"/>
  <c r="K42" i="4"/>
  <c r="L42" i="4" s="1"/>
  <c r="C42" i="4"/>
  <c r="H55" i="4" l="1"/>
  <c r="I55" i="4"/>
  <c r="B56" i="4"/>
  <c r="M55" i="4"/>
  <c r="G55" i="4"/>
  <c r="D43" i="4" a="1"/>
  <c r="D43" i="4" s="1"/>
  <c r="E43" i="4"/>
  <c r="B57" i="4" l="1"/>
  <c r="M56" i="4"/>
  <c r="K43" i="4"/>
  <c r="L43" i="4" s="1"/>
  <c r="C43" i="4"/>
  <c r="I56" i="4"/>
  <c r="H56" i="4"/>
  <c r="G56" i="4" s="1"/>
  <c r="E44" i="4" l="1"/>
  <c r="D44" i="4" a="1"/>
  <c r="D44" i="4" s="1"/>
  <c r="H57" i="4"/>
  <c r="I57" i="4"/>
  <c r="M57" i="4"/>
  <c r="B58" i="4"/>
  <c r="G57" i="4"/>
  <c r="M58" i="4" l="1"/>
  <c r="B59" i="4"/>
  <c r="K44" i="4"/>
  <c r="L44" i="4" s="1"/>
  <c r="C44" i="4"/>
  <c r="I58" i="4"/>
  <c r="H58" i="4"/>
  <c r="G58" i="4" s="1"/>
  <c r="E45" i="4" l="1"/>
  <c r="D45" i="4" a="1"/>
  <c r="D45" i="4" s="1"/>
  <c r="M59" i="4"/>
  <c r="B60" i="4"/>
  <c r="H59" i="4"/>
  <c r="G59" i="4" s="1"/>
  <c r="I59" i="4"/>
  <c r="K45" i="4" l="1"/>
  <c r="L45" i="4" s="1"/>
  <c r="C45" i="4"/>
  <c r="M60" i="4"/>
  <c r="B61" i="4"/>
  <c r="H60" i="4"/>
  <c r="G60" i="4" s="1"/>
  <c r="I60" i="4"/>
  <c r="I61" i="4" l="1"/>
  <c r="H61" i="4"/>
  <c r="M61" i="4"/>
  <c r="G61" i="4"/>
  <c r="B62" i="4"/>
  <c r="D46" i="4" a="1"/>
  <c r="D46" i="4" s="1"/>
  <c r="E46" i="4"/>
  <c r="K46" i="4" l="1"/>
  <c r="L46" i="4" s="1"/>
  <c r="C46" i="4"/>
  <c r="H62" i="4"/>
  <c r="I62" i="4"/>
  <c r="B63" i="4"/>
  <c r="G62" i="4"/>
  <c r="M62" i="4"/>
  <c r="D47" i="4" l="1" a="1"/>
  <c r="D47" i="4" s="1"/>
  <c r="E47" i="4"/>
  <c r="H63" i="4"/>
  <c r="H31" i="4" s="1"/>
  <c r="I63" i="4"/>
  <c r="M63" i="4"/>
  <c r="G63" i="4" l="1"/>
  <c r="G31" i="4" s="1"/>
  <c r="K47" i="4"/>
  <c r="L47" i="4" s="1"/>
  <c r="C47" i="4"/>
  <c r="D48" i="4" l="1" a="1"/>
  <c r="D48" i="4" s="1"/>
  <c r="E48" i="4"/>
  <c r="K48" i="4" l="1"/>
  <c r="L48" i="4" s="1"/>
  <c r="C48" i="4"/>
  <c r="D49" i="4" l="1" a="1"/>
  <c r="D49" i="4" s="1"/>
  <c r="E49" i="4"/>
  <c r="K49" i="4" l="1"/>
  <c r="L49" i="4" s="1"/>
  <c r="C49" i="4"/>
  <c r="D50" i="4" l="1" a="1"/>
  <c r="E50" i="4"/>
  <c r="D50" i="4"/>
  <c r="K50" i="4" l="1"/>
  <c r="L50" i="4" s="1"/>
  <c r="C50" i="4"/>
  <c r="D51" i="4" l="1" a="1"/>
  <c r="D51" i="4" s="1"/>
  <c r="E51" i="4"/>
  <c r="K51" i="4" l="1"/>
  <c r="L51" i="4" s="1"/>
  <c r="C51" i="4"/>
  <c r="D52" i="4" l="1" a="1"/>
  <c r="E52" i="4"/>
  <c r="D52" i="4"/>
  <c r="K52" i="4" l="1"/>
  <c r="L52" i="4" s="1"/>
  <c r="C52" i="4"/>
  <c r="D53" i="4" s="1" a="1"/>
  <c r="D53" i="4" l="1"/>
  <c r="E53" i="4"/>
  <c r="K53" i="4" l="1"/>
  <c r="L53" i="4" s="1"/>
  <c r="C53" i="4"/>
  <c r="D54" i="4" s="1" a="1"/>
  <c r="D54" i="4" l="1"/>
  <c r="E54" i="4"/>
  <c r="K54" i="4" l="1"/>
  <c r="L54" i="4" s="1"/>
  <c r="C54" i="4"/>
  <c r="D55" i="4" s="1" a="1"/>
  <c r="E55" i="4" l="1"/>
  <c r="D55" i="4"/>
  <c r="K55" i="4" l="1"/>
  <c r="L55" i="4" s="1"/>
  <c r="C55" i="4"/>
  <c r="D56" i="4" s="1" a="1"/>
  <c r="D56" i="4" l="1"/>
  <c r="E56" i="4"/>
  <c r="K56" i="4" l="1"/>
  <c r="L56" i="4" s="1"/>
  <c r="C56" i="4"/>
  <c r="D57" i="4" s="1" a="1"/>
  <c r="D57" i="4" l="1"/>
  <c r="E57" i="4"/>
  <c r="K57" i="4" l="1"/>
  <c r="L57" i="4" s="1"/>
  <c r="C57" i="4"/>
  <c r="D58" i="4" s="1" a="1"/>
  <c r="D58" i="4" l="1"/>
  <c r="E58" i="4"/>
  <c r="K58" i="4" l="1"/>
  <c r="L58" i="4" s="1"/>
  <c r="C58" i="4"/>
  <c r="D59" i="4" s="1" a="1"/>
  <c r="D59" i="4" l="1"/>
  <c r="E59" i="4"/>
  <c r="K59" i="4" l="1"/>
  <c r="L59" i="4" s="1"/>
  <c r="C59" i="4"/>
  <c r="D60" i="4" s="1" a="1"/>
  <c r="D60" i="4" l="1"/>
  <c r="E60" i="4"/>
  <c r="K60" i="4" l="1"/>
  <c r="L60" i="4" s="1"/>
  <c r="C60" i="4"/>
  <c r="D61" i="4" s="1" a="1"/>
  <c r="D61" i="4" l="1"/>
  <c r="E61" i="4"/>
  <c r="C61" i="4" l="1"/>
  <c r="D62" i="4" s="1" a="1"/>
  <c r="K61" i="4"/>
  <c r="L61" i="4" s="1"/>
  <c r="E62" i="4" l="1"/>
  <c r="D62" i="4"/>
  <c r="C62" i="4" l="1"/>
  <c r="D63" i="4" s="1" a="1"/>
  <c r="K62" i="4"/>
  <c r="L62" i="4" s="1"/>
  <c r="D63" i="4" l="1"/>
  <c r="E63" i="4"/>
  <c r="C63" i="4" l="1"/>
  <c r="C31" i="4" s="1"/>
  <c r="K63" i="4"/>
  <c r="L63" i="4" s="1"/>
  <c r="C5" i="4" s="1"/>
  <c r="D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tc={9376271A-D282-417F-9D3F-06F63802242B}</author>
    <author>tc={248D620C-571D-4D02-8E1B-C58944477DAD}</author>
  </authors>
  <commentList>
    <comment ref="E3"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¿validar CNAE?</t>
      </text>
    </comment>
    <comment ref="E12" authorId="1" shapeId="0" xr:uid="{00000000-0006-0000-0000-000002000000}">
      <text>
        <t>[Threaded comment]
Your version of Excel allows you to read this threaded comment; however, any edits to it will get removed if the file is opened in a newer version of Excel. Learn more: https://go.microsoft.com/fwlink/?linkid=870924
Comment:
    ¿validar CNAE?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tc={CD7CA762-49FD-42D7-A640-C204BE44306B}</author>
  </authors>
  <commentList>
    <comment ref="C22" authorId="0" shapeId="0" xr:uid="{CD7CA762-49FD-42D7-A640-C204BE44306B}">
      <text>
        <t>[Threaded comment]
Your version of Excel allows you to read this threaded comment; however, any edits to it will get removed if the file is opened in a newer version of Excel. Learn more: https://go.microsoft.com/fwlink/?linkid=870924
Comment:
    ¿siempre es +1%?</t>
      </text>
    </comment>
  </commentList>
</comments>
</file>

<file path=xl/sharedStrings.xml><?xml version="1.0" encoding="utf-8"?>
<sst xmlns="http://schemas.openxmlformats.org/spreadsheetml/2006/main" count="363" uniqueCount="264">
  <si>
    <t>Tasa de la Garantía</t>
  </si>
  <si>
    <t>Total Préstamo</t>
  </si>
  <si>
    <t>Vencimiento en años</t>
  </si>
  <si>
    <t>Numero fijo vencimiento</t>
  </si>
  <si>
    <t>Valor mínimo entre los número 10 y el valor del campo de VENCIMIENTO EN AÑOS</t>
  </si>
  <si>
    <t xml:space="preserve">C  200/ (1500*5)
</t>
  </si>
  <si>
    <t>ESB</t>
  </si>
  <si>
    <t>Titulo</t>
  </si>
  <si>
    <t>Finalidad</t>
  </si>
  <si>
    <t>Beneficiarios</t>
  </si>
  <si>
    <t>Segmento</t>
  </si>
  <si>
    <t>Proyecto bajo Anexo 1 TFUE? (Capturar CNAE operación)</t>
  </si>
  <si>
    <t>Importe ESB</t>
  </si>
  <si>
    <t>Importe Máximo</t>
  </si>
  <si>
    <t>OFERTA MEDIDA 4.1.4</t>
  </si>
  <si>
    <t>Inversion</t>
  </si>
  <si>
    <t>Autonomos</t>
  </si>
  <si>
    <t>Los agricultores y las agrupaciones de agricultores, con personalidad física o jurídica, las comunidades de bienes o cualquier otro tipo de unidad económica o entidad separada sin personalidad jurídica.</t>
  </si>
  <si>
    <t>PYME</t>
  </si>
  <si>
    <t>Sí</t>
  </si>
  <si>
    <t>Cálculo Prima Refugio</t>
  </si>
  <si>
    <t>ESB &lt;= 50% costes elegibles</t>
  </si>
  <si>
    <t>Micros / PYME</t>
  </si>
  <si>
    <t>No</t>
  </si>
  <si>
    <t>(ESB &lt;= 50% costes elegibles) y (ESB + ayudas declaradas &lt;= limite 200.000€ y condiciones minimis)</t>
  </si>
  <si>
    <t>NO PYME</t>
  </si>
  <si>
    <t>Cálculo (Importe*80 % * menor entre duración y 10 años * 200/(1500*5)</t>
  </si>
  <si>
    <t>Circulante</t>
  </si>
  <si>
    <t>EL MAYOR entre: ESB &lt;= 30% del costes elegibles (por ser circulante) o ESB + ayudas declaradas &lt;= 200.000 € y condiciones minimis</t>
  </si>
  <si>
    <t>OFERTA MEDIDA 4.2.3</t>
  </si>
  <si>
    <t xml:space="preserve">Las personas físicas o jurídicas que se dediquen a actividades de transformación y comercialización de productos agrícolas </t>
  </si>
  <si>
    <r>
      <rPr>
        <b/>
        <sz val="11"/>
        <color rgb="FFFF0000"/>
        <rFont val="Calibri"/>
        <family val="2"/>
        <scheme val="minor"/>
      </rPr>
      <t>Disclaimer:</t>
    </r>
    <r>
      <rPr>
        <sz val="11"/>
        <color theme="1"/>
        <rFont val="Calibri"/>
        <family val="2"/>
        <scheme val="minor"/>
      </rPr>
      <t xml:space="preserve"> Document provided for indicative purporses only.  EIB does not accept any responsibility for or obligation or duty with respect to any part or all of the document of any nature or kind. The EIB shall not be held liable or responsible for the use of this document and its accuracy.</t>
    </r>
  </si>
  <si>
    <t>Celdas a completar</t>
  </si>
  <si>
    <t xml:space="preserve">Tasa de la Garantía </t>
  </si>
  <si>
    <t>Préstamo subyacente</t>
  </si>
  <si>
    <t>Extracto metodología artículo 10 del anexo 12 "General Undertaking"</t>
  </si>
  <si>
    <t>Reglamento 1407/2013.</t>
  </si>
  <si>
    <t xml:space="preserve">For Final Recipients falling outside of the category of an SME (i.e. Large Entreprises) a formula will be used based on the provisions of Art. 4.6(b) of the De Minimis Regulation. With the latter simplified methodology, Final Recipient Transactions may not have an initial maturity of more than 120 months and the GGE shall be calculated as follows: </t>
  </si>
  <si>
    <t>Separación del préstamo</t>
  </si>
  <si>
    <t>GGE = Final Recipient Transaction principal amount x Guarantee Rate x Min(Final Recipient Transaction Maturity in years; 10) x 200/(1500*5).</t>
  </si>
  <si>
    <t>Parte Garantizada del préstamo subyacente</t>
  </si>
  <si>
    <t>Parte del prestamo subyacente a riesgo del Intermediario Financiero</t>
  </si>
  <si>
    <t>Cálculo</t>
  </si>
  <si>
    <t>A</t>
  </si>
  <si>
    <t>B</t>
  </si>
  <si>
    <t>C</t>
  </si>
  <si>
    <t>Equivalente de Subvención Bruta</t>
  </si>
  <si>
    <t>Tipo de Referencia Comisión Europea</t>
  </si>
  <si>
    <t>https://ec.europa.eu/competition-policy/state-aid/legislation/reference-discount-rates-and-recovery-interest-rates/reference-and-discount_en</t>
  </si>
  <si>
    <t>Resultados</t>
  </si>
  <si>
    <t>Extracto Comunicación de la Comisión relativa a la aplicación de los artículos 87 y 88 del Tratado CE a las ayudas estatales otorgadas en forma de garantía</t>
  </si>
  <si>
    <t>Tablas prima refugio = credit risk spread</t>
  </si>
  <si>
    <t>Os paso la tabla de equivalencias, cada año se actualiza.</t>
  </si>
  <si>
    <t>S&amp;P Rating</t>
  </si>
  <si>
    <t>Prima refugio</t>
  </si>
  <si>
    <t>Actualmente la que esta implementada en el sistema es la siguiente:</t>
  </si>
  <si>
    <t>Para esta garantía este input es fijo en 80%</t>
  </si>
  <si>
    <t>AAA</t>
  </si>
  <si>
    <t>Margen correspondiente a la prima de riesgo de crédito del tipo de interés aplicada a la parte garantizada</t>
  </si>
  <si>
    <t>Para esta garantía este input es fijo en 0%</t>
  </si>
  <si>
    <t>AA+</t>
  </si>
  <si>
    <t>Rating</t>
  </si>
  <si>
    <t>PD</t>
  </si>
  <si>
    <t>PD Min</t>
  </si>
  <si>
    <t>PD Max</t>
  </si>
  <si>
    <t>EM</t>
  </si>
  <si>
    <t>EM Min</t>
  </si>
  <si>
    <t>EM Max</t>
  </si>
  <si>
    <t>Total préstamo</t>
  </si>
  <si>
    <t>AA</t>
  </si>
  <si>
    <t>Vencimiento en semestres</t>
  </si>
  <si>
    <t>AA-</t>
  </si>
  <si>
    <t>Periodo de gracia en semestres</t>
  </si>
  <si>
    <t>A+</t>
  </si>
  <si>
    <t>Rating de la PYME</t>
  </si>
  <si>
    <t>Tipo de Referencia</t>
  </si>
  <si>
    <t>A-</t>
  </si>
  <si>
    <t>BBB+</t>
  </si>
  <si>
    <t>Hipotesis fijas</t>
  </si>
  <si>
    <t>BBB</t>
  </si>
  <si>
    <t>Pagos por periodo</t>
  </si>
  <si>
    <t>BBB-</t>
  </si>
  <si>
    <t>BB+</t>
  </si>
  <si>
    <t>Cálculos</t>
  </si>
  <si>
    <t>BB</t>
  </si>
  <si>
    <t>Prima refugio anual</t>
  </si>
  <si>
    <t>BB-</t>
  </si>
  <si>
    <t>Prima refugio semestral</t>
  </si>
  <si>
    <t>B+</t>
  </si>
  <si>
    <t>Tipo de descuento ( Tipo de Referencia +1%)</t>
  </si>
  <si>
    <t>Tipo de interés propuesto - semestral</t>
  </si>
  <si>
    <t>B-</t>
  </si>
  <si>
    <t>Cantidad cubierta por la garantía</t>
  </si>
  <si>
    <t>CCC+ or por debajo</t>
  </si>
  <si>
    <t>No puede proporcionarse prima refugio anual</t>
  </si>
  <si>
    <t>CCC+</t>
  </si>
  <si>
    <t>CCC</t>
  </si>
  <si>
    <t>Financiación con prima refugio</t>
  </si>
  <si>
    <t>Financiación propuesta</t>
  </si>
  <si>
    <t>CCC-</t>
  </si>
  <si>
    <t>Pago semestral</t>
  </si>
  <si>
    <t>D</t>
  </si>
  <si>
    <t>Remboursement</t>
  </si>
  <si>
    <t>Principal</t>
  </si>
  <si>
    <t>Margen prima riesgo</t>
  </si>
  <si>
    <t>Saldo vivo del principal</t>
  </si>
  <si>
    <t>Margen Prima Riesgo</t>
  </si>
  <si>
    <t>Beneficio Nominal</t>
  </si>
  <si>
    <t>Beneficio descontado</t>
  </si>
  <si>
    <t>Commission Notice on the application of Articles 87 and 88 of the EC Treaty to State aid in the form of guarantees</t>
  </si>
  <si>
    <t>https://eur-lex.europa.eu/legal-content/EN/TXT/?uri=CELEX%3A52008XC0620%2802%29</t>
  </si>
  <si>
    <t>https://eur-lex.europa.eu/legal-content/EN/TXT/?uri=celex%3A52008XC0620%2802%29R%2801%29</t>
  </si>
  <si>
    <t>Base rates calculated in accordance with the Commission communication of 19.01.2008</t>
  </si>
  <si>
    <t>De minimis regulation</t>
  </si>
  <si>
    <t>EUR-Lex - 32013R1407 - EN - EUR-Lex (europa.eu)</t>
  </si>
  <si>
    <t>TABLA 1</t>
  </si>
  <si>
    <t>TABLA 2 (fuera Anexo 1)</t>
  </si>
  <si>
    <t>01</t>
  </si>
  <si>
    <t>AGRICULTURA, GANADERÍA, CAZA Y SERVICIOS RELACIONADOS CON LAS MISMAS (DENTRO ANEXO 1)</t>
  </si>
  <si>
    <t>01.1</t>
  </si>
  <si>
    <t>Cultivos no perennes  (DENTRO ANEXO 1)</t>
  </si>
  <si>
    <t>01.2</t>
  </si>
  <si>
    <t>Cultivos perennes  (DENTRO ANEXO 1)</t>
  </si>
  <si>
    <t>01.3</t>
  </si>
  <si>
    <t>Propagación de plantas  (DENTRO ANEXO 1)</t>
  </si>
  <si>
    <t>01.4</t>
  </si>
  <si>
    <t>Producción ganadera (DENTRO ANEXO 1)</t>
  </si>
  <si>
    <t>01.15</t>
  </si>
  <si>
    <t>Cultivo de tabaco (EXCLUIDO)</t>
  </si>
  <si>
    <t>0141</t>
  </si>
  <si>
    <t>Explotación de ganado bovino para la producción de leche  (DENTRO ANEXO 1)</t>
  </si>
  <si>
    <t>0142</t>
  </si>
  <si>
    <t>Explotación de otro ganado bovino y búfalos  (DENTRO ANEXO 1)</t>
  </si>
  <si>
    <t>0143</t>
  </si>
  <si>
    <t>Explotación de caballos y otros equinos  (DENTRO ANEXO 1)</t>
  </si>
  <si>
    <t>0144</t>
  </si>
  <si>
    <t>Explotación de camellos y otros camélidos  (DENTRO ANEXO 1)</t>
  </si>
  <si>
    <t>0145</t>
  </si>
  <si>
    <t>Explotación de ganado ovino y caprino  (DENTRO ANEXO 1)</t>
  </si>
  <si>
    <t>0146</t>
  </si>
  <si>
    <t>Explotación de ganado porcino  (DENTRO ANEXO 1)</t>
  </si>
  <si>
    <t>0147</t>
  </si>
  <si>
    <t>Avicultura  (DENTRO ANEXO 1)</t>
  </si>
  <si>
    <t>0149</t>
  </si>
  <si>
    <t>Otras explotaciones de ganado  (DENTRO ANEXO 1)</t>
  </si>
  <si>
    <t>01.5</t>
  </si>
  <si>
    <t>Producción agrícola combinada con la producción ganadera  (DENTRO ANEXO 1)</t>
  </si>
  <si>
    <t>01.6</t>
  </si>
  <si>
    <t>Actividades de apoyo a la agricultura, a la ganadería y de preparación posterior a la cosecha  (DENTRO ANEXO 1)</t>
  </si>
  <si>
    <t>10</t>
  </si>
  <si>
    <t>INDUSTRIA DE LA ALIMENTACIÓN  (DENTRO ANEXO 1)</t>
  </si>
  <si>
    <t>10.1</t>
  </si>
  <si>
    <t>Procesado y conservación de carne y elaboración de productos cárnicos  (DENTRO ANEXO 1)</t>
  </si>
  <si>
    <t>10.3</t>
  </si>
  <si>
    <t>Procesado y conservación de frutas y hortalizas  (DENTRO ANEXO 1)</t>
  </si>
  <si>
    <t>10.4</t>
  </si>
  <si>
    <t>Fabricación de aceites y grasas vegetales y animales  (DENTRO ANEXO 1)</t>
  </si>
  <si>
    <t>10.5</t>
  </si>
  <si>
    <t>Fabricación de productos lácteos  (DENTRO ANEXO 1)</t>
  </si>
  <si>
    <t>10.52</t>
  </si>
  <si>
    <t>Elaboración de helados (FUERA ANEXO 1)</t>
  </si>
  <si>
    <t>10.6</t>
  </si>
  <si>
    <t>Fabricación de productos de molinería, almidones y productos amiláceos  (DENTRO ANEXO 1)</t>
  </si>
  <si>
    <t>10.7</t>
  </si>
  <si>
    <t>Fabricación de productos de panadería y pastas alimenticias  (DENTRO ANEXO 1)</t>
  </si>
  <si>
    <t>10.71</t>
  </si>
  <si>
    <t>Fabricación de pan y de productos frescos de panadería y pastelería (FUERA ANEXO 1)</t>
  </si>
  <si>
    <t>10.72</t>
  </si>
  <si>
    <t>Fabricación de galletas y productos de panadería y pastelería de larga duración (FUERA ANEXO 1)</t>
  </si>
  <si>
    <t>10.73</t>
  </si>
  <si>
    <t>Fabricación de pastas alimenticias, cuscús y productos similares (FUERA ANEXO 1)</t>
  </si>
  <si>
    <t>10.8</t>
  </si>
  <si>
    <t>Fabricación de otros productos alimenticios  (DENTRO ANEXO 1)</t>
  </si>
  <si>
    <t>10.82</t>
  </si>
  <si>
    <t>Fabricación de cacao, chocolate y productos de confitería (FUERA ANEXO 1)</t>
  </si>
  <si>
    <t>10.84</t>
  </si>
  <si>
    <t>Elaboración de especias, salsas y condimentos (CONSULTAR SI DENTRO / FUERA ANEXO 1)</t>
  </si>
  <si>
    <t>No anexo 1</t>
  </si>
  <si>
    <t>Preparaciones para salsas y salsas preparadas (incluidos salsa de soja, kétchup y demás salsas de tomate; condimentos y sazonadores, compuestos; harina de mostaza y mostaza preparada</t>
  </si>
  <si>
    <t>Anexo I</t>
  </si>
  <si>
    <t>Vinagre y sus sucedáneos; y las especias</t>
  </si>
  <si>
    <t>10.85</t>
  </si>
  <si>
    <t> Elaboración de platos y comidas preparados (CONSULTAR SI DENTRO / FUERA ANEXO 1)</t>
  </si>
  <si>
    <t>platos de pasta (incluidas las pastas rellenas).</t>
  </si>
  <si>
    <t>Platos preparados de carne; y platos preparados de hortalizas (6). Se recomienda consultar.
Los platos preparados de productos de la pesca y acuicultura no son elegibles para el FEADER</t>
  </si>
  <si>
    <t>10.86</t>
  </si>
  <si>
    <t>Elaboración de preparados alimenticios homogeneizados y alimentos dietéticos (CONSULTAR SI DENTRO / FUERA ANEXO 1)</t>
  </si>
  <si>
    <t>Preparaciones alimenticias compuestas homogeneizadas</t>
  </si>
  <si>
    <t>Preparaciones alimenticias homogeneizadas de carne u hortalizas, no compuestas (es es decir, las no incluidas en la línea a continuación, si bien se recomienda consultar).</t>
  </si>
  <si>
    <t>10.89</t>
  </si>
  <si>
    <t>Elaboración de otros productos alimenticios n.c.o.p. (CONSULTAR SI DENTRO / FUERA ANEXO 1)</t>
  </si>
  <si>
    <t>Sopas y caldos; Caramelo y miel artificial; Pizza fresca; alimentos sin gluten cuyo equivalente con gluten se clasifique como fuera del Anexo I TFUE.</t>
  </si>
  <si>
    <t>Alimentos sin gluten cuyo equivalente con gluten se clasifique como perteneciente al Anexo I TFUE.</t>
  </si>
  <si>
    <t>10.9</t>
  </si>
  <si>
    <t>Fabricación de productos para la alimentación animal  (DENTRO ANEXO 1)</t>
  </si>
  <si>
    <t>11</t>
  </si>
  <si>
    <t>FABRICACIÓN DE BEBIDAS (DENTRO ANEXO 1)</t>
  </si>
  <si>
    <t>11.0</t>
  </si>
  <si>
    <t>Fabricación de bebidas (DENTRO ANEXO 1)</t>
  </si>
  <si>
    <t>1101</t>
  </si>
  <si>
    <t>Destilación, rectificación y mezcla de bebidas alcohólicas (CONSULTAR SI DENTRO / FUERA ANEXO 1)</t>
  </si>
  <si>
    <t>Aguardientes, licores y demás bebidas espirituosas; y preparados alcohólicos compuestos (llamados «extractos concentrados») para la fabricación de bebidas”</t>
  </si>
  <si>
    <t>Destilación de alcohol etílico procedente de fermentación</t>
  </si>
  <si>
    <t>1102</t>
  </si>
  <si>
    <t>Elaboración de vinos (DENTRO ANEXO 1)</t>
  </si>
  <si>
    <t>1103</t>
  </si>
  <si>
    <t>Elaboración de sidra y otras bebidas fermentadas a partir de frutas (DENTRO ANEXO 1)</t>
  </si>
  <si>
    <t>1104</t>
  </si>
  <si>
    <t>Elaboración de otras bebidas no destiladas, procedentes de la fermentación (DENTRO ANEXO 1)</t>
  </si>
  <si>
    <t>1105</t>
  </si>
  <si>
    <t>Fabricación de cerveza (FUERA ANEXO 1)</t>
  </si>
  <si>
    <t xml:space="preserve">Si la fabricación de malta es para hacer cerveza o extracto de malta como preparado alimenticio </t>
  </si>
  <si>
    <t>1106</t>
  </si>
  <si>
    <t>Fabricación de malta (DENTRO ANEXO 1)</t>
  </si>
  <si>
    <t xml:space="preserve">Si es fabricación de malta </t>
  </si>
  <si>
    <t>1107</t>
  </si>
  <si>
    <t>Fabricación de bebidas no alcohólicas; producción de aguas minerales y otras aguas embotelladas (CONSULTAR SI FUERA ANEXO 1 o NO ELEGIBLE)</t>
  </si>
  <si>
    <t>Agua, incluidas el agua mineral y la gaseada, con adición de azúcar u otro edulcorante o aromatizada, y demás bebidas no alcohólicas, excepto los jugos de frutas u otros frutos o de hortalizas</t>
  </si>
  <si>
    <t>NO ELEGIBLE</t>
  </si>
  <si>
    <t>Agua, incluidas el agua mineral natural o artificial y la gaseada, sin adición de azúcar u otro edulcorante ni aromatizada; hielo y nieve</t>
  </si>
  <si>
    <t>01 - AGRICULTURA, GANADERÍA, CAZA Y SERVICIOS RELACIONADOS CON LAS MISMAS (DENTRO ANEXO 1);</t>
  </si>
  <si>
    <t>01.1 - Cultivos no perennes  (DENTRO ANEXO 1);</t>
  </si>
  <si>
    <t>01.2 - Cultivos perennes  (DENTRO ANEXO 1);</t>
  </si>
  <si>
    <t>01.3 - Propagación de plantas  (DENTRO ANEXO 1);</t>
  </si>
  <si>
    <t>01.4 - Producción ganadera (DENTRO ANEXO 1);</t>
  </si>
  <si>
    <t>0141 - Explotación de ganado bovino para la producción de leche  (DENTRO ANEXO 1);</t>
  </si>
  <si>
    <t>0142 - Explotación de otro ganado bovino y búfalos  (DENTRO ANEXO 1);</t>
  </si>
  <si>
    <t>0143 - Explotación de caballos y otros equinos  (DENTRO ANEXO 1);</t>
  </si>
  <si>
    <t>0144 - Explotación de camellos y otros camélidos  (DENTRO ANEXO 1);</t>
  </si>
  <si>
    <t>0145 - Explotación de ganado ovino y caprino  (DENTRO ANEXO 1);</t>
  </si>
  <si>
    <t>0146 - Explotación de ganado porcino  (DENTRO ANEXO 1);</t>
  </si>
  <si>
    <t>0147 - Avicultura  (DENTRO ANEXO 1);</t>
  </si>
  <si>
    <t>0149 - Otras explotaciones de ganado  (DENTRO ANEXO 1);</t>
  </si>
  <si>
    <t>01.5 - Producción agrícola combinada con la producción ganadera  (DENTRO ANEXO 1);</t>
  </si>
  <si>
    <t>01.6 - Actividades de apoyo a la agricultura, a la ganadería y de preparación posterior a la cosecha  (DENTRO ANEXO 1);</t>
  </si>
  <si>
    <t>10 - INDUSTRIA DE LA ALIMENTACIÓN  (DENTRO ANEXO 1);</t>
  </si>
  <si>
    <t>10.1 - Procesado y conservación de carne y elaboración de productos cárnicos  (DENTRO ANEXO 1);</t>
  </si>
  <si>
    <t>10.3 - Procesado y conservación de frutas y hortalizas  (DENTRO ANEXO 1);</t>
  </si>
  <si>
    <t>10.4 - Fabricación de aceites y grasas vegetales y animales  (DENTRO ANEXO 1);</t>
  </si>
  <si>
    <t>10.5 - Fabricación de productos lácteos  (DENTRO ANEXO 1);</t>
  </si>
  <si>
    <t>10.6 - Fabricación de productos de molinería, almidones y productos amiláceos  (DENTRO ANEXO 1);</t>
  </si>
  <si>
    <t>10.7 - Fabricación de productos de panadería y pastas alimenticias  (DENTRO ANEXO 1);</t>
  </si>
  <si>
    <t>10.8 - Fabricación de otros productos alimenticios  (DENTRO ANEXO 1);</t>
  </si>
  <si>
    <t>10.9 - Fabricación de productos para la alimentación animal  (DENTRO ANEXO 1);</t>
  </si>
  <si>
    <t>11 - FABRICACIÓN DE BEBIDAS (DENTRO ANEXO 1);</t>
  </si>
  <si>
    <t>11.0 - Fabricación de bebidas (DENTRO ANEXO 1);</t>
  </si>
  <si>
    <t>1101 - Destilación, rectificación y mezcla de bebidas alcohólicas (DENTRO ANEXO 1);</t>
  </si>
  <si>
    <t>1102 - Elaboración de vinos (DENTRO ANEXO 1);</t>
  </si>
  <si>
    <t>1103 - Elaboración de sidra y otras bebidas fermentadas a partir de frutas (DENTRO ANEXO 1);</t>
  </si>
  <si>
    <t>1104 - Elaboración de otras bebidas no destiladas, procedentes de la fermentación (DENTRO ANEXO 1);</t>
  </si>
  <si>
    <t>1106 - Fabricación de malta (DENTRO ANEXO 1);</t>
  </si>
  <si>
    <t>1107 - Fabricación de bebidas no alcohólicas; producción de aguas minerales y otras aguas embotelladas (DENTRO ANEXO 1);</t>
  </si>
  <si>
    <t>10.52 - Elaboración de helados (FUERA ANEXO 1);</t>
  </si>
  <si>
    <t>10.71 - Fabricación de pan y de productos frescos de panadería y pastelería (FUERA ANEXO 1);</t>
  </si>
  <si>
    <t>10.72 - Fabricación de galletas y productos de panadería y pastelería de larga duración (FUERA ANEXO 1);</t>
  </si>
  <si>
    <t>10.73 - Fabricación de pastas alimenticias, cuscús y productos similares (FUERA ANEXO 1);</t>
  </si>
  <si>
    <t>10.82 - Fabricación de cacao, chocolate y productos de confitería (FUERA ANEXO 1);</t>
  </si>
  <si>
    <t>10.84 - Elaboración de especias, salsas y condimentos (CONSULTAR SI DENTRO / FUERA ANEXO 1);</t>
  </si>
  <si>
    <t>10.85 -  Elaboración de platos y comidas preparados (CONSULTAR SI DENTRO / FUERA ANEXO 1);</t>
  </si>
  <si>
    <t>10.86 - Elaboración de preparados alimenticios homogeneizados y alimentos dietéticos (CONSULTAR SI DENTRO / FUERA ANEXO 1);</t>
  </si>
  <si>
    <t>10.89 - Elaboración de otros productos alimenticios n.c.o.p. (CONSULTAR SI DENTRO / FUERA ANEXO 1);</t>
  </si>
  <si>
    <t>1101 - Destilación, rectificación y mezcla de bebidas alcohólicas (CONSULTAR SI DENTRO / FUERA ANEXO 1);</t>
  </si>
  <si>
    <t>1105 - Fabricación de cerveza (FUERA ANEXO 1);</t>
  </si>
  <si>
    <t>1107 - Fabricación de bebidas no alcohólicas; producción de aguas minerales y otras aguas embotelladas (CONSULTAR SI FUERA ANEXO 1 o NO ELEGIBLE);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</si>
</sst>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8" formatCode="#,##0.00\ &quot;€&quot;;[Red]\-#,##0.00\ &quot;€&quot;"/>
    <numFmt numFmtId="164" formatCode="_-* #,##0.00_-;\-* #,##0.00_-;_-* &quot;-&quot;??_-;_-@_-"/>
    <numFmt numFmtId="165" formatCode="_(* #,##0.00_);_(* \(#,##0.00\);_(* &quot;-&quot;??_);_(@_)"/>
    <numFmt numFmtId="166" formatCode="_(* #,##0_);_(* \(#,##0\);_(* &quot;-&quot;??_);_(@_)"/>
    <numFmt numFmtId="167" formatCode="#,##0.00_ ;[Red]\-#,##0.00\ "/>
    <numFmt numFmtId="168" formatCode="0.0%"/>
    <numFmt numFmtId="169" formatCode="#,##0.0_ ;[Red]\-#,##0.0\ "/>
    <numFmt numFmtId="170" formatCode="_-* #,##0.0_-;\-* #,##0.0_-;_-* &quot;-&quot;?_-;_-@_-"/>
    <numFmt numFmtId="171" formatCode="_-* #,##0_-;\-* #,##0_-;_-* &quot;-&quot;??_-;_-@_-"/>
  </numFmts>
  <fonts count="28">
    <font>
      <sz val="11"/>
      <color theme="1"/>
      <name val="Calibri"/>
      <family val="2"/>
      <scheme val="minor"/>
    </font>
    <font>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sz val="8"/>
      <name val="Calibri"/>
      <family val="2"/>
      <scheme val="minor"/>
    </font>
    <font>
      <sz val="11"/>
      <color theme="4"/>
      <name val="Calibri"/>
      <family val="2"/>
      <scheme val="minor"/>
    </font>
    <font>
      <sz val="11"/>
      <color rgb="FF7030A0"/>
      <name val="Calibri"/>
      <family val="2"/>
      <scheme val="minor"/>
    </font>
    <font>
      <sz val="11"/>
      <color rgb="FF00B050"/>
      <name val="Calibri"/>
      <family val="2"/>
      <scheme val="minor"/>
    </font>
    <font>
      <sz val="11"/>
      <name val="Calibri"/>
      <family val="2"/>
      <scheme val="minor"/>
    </font>
    <font>
      <sz val="10"/>
      <color rgb="FF000000"/>
      <name val="Arial"/>
      <family val="2"/>
    </font>
    <font>
      <u/>
      <sz val="11"/>
      <color theme="10"/>
      <name val="Calibri"/>
      <family val="2"/>
      <scheme val="minor"/>
    </font>
    <font>
      <b/>
      <sz val="11"/>
      <color rgb="FFFF0000"/>
      <name val="Calibri"/>
      <family val="2"/>
      <scheme val="minor"/>
    </font>
    <font>
      <b/>
      <sz val="10"/>
      <name val="Arial"/>
      <family val="2"/>
    </font>
    <font>
      <b/>
      <sz val="11"/>
      <color rgb="FF0070C0"/>
      <name val="Calibri"/>
      <family val="2"/>
      <scheme val="minor"/>
    </font>
    <font>
      <sz val="8"/>
      <color theme="1"/>
      <name val="Calibri"/>
      <family val="2"/>
      <scheme val="minor"/>
    </font>
    <font>
      <sz val="9"/>
      <color rgb="FFFF0000"/>
      <name val="Calibri"/>
      <family val="2"/>
      <scheme val="minor"/>
    </font>
    <font>
      <sz val="9"/>
      <color rgb="FF00B050"/>
      <name val="Calibri"/>
      <family val="2"/>
      <scheme val="minor"/>
    </font>
    <font>
      <b/>
      <sz val="9"/>
      <color rgb="FF282F4C"/>
      <name val="Trebuchet MS"/>
      <family val="2"/>
    </font>
    <font>
      <b/>
      <sz val="8"/>
      <color theme="4"/>
      <name val="Arial"/>
      <family val="2"/>
    </font>
    <font>
      <b/>
      <sz val="8"/>
      <color rgb="FFB50000"/>
      <name val="Trebuchet MS"/>
      <family val="2"/>
    </font>
    <font>
      <b/>
      <sz val="8"/>
      <color rgb="FF282F4C"/>
      <name val="Trebuchet MS"/>
      <family val="2"/>
    </font>
    <font>
      <b/>
      <sz val="11"/>
      <name val="Calibri"/>
      <family val="2"/>
      <scheme val="minor"/>
    </font>
    <font>
      <b/>
      <sz val="10"/>
      <color rgb="FF000000"/>
      <name val="Calibri"/>
      <family val="2"/>
    </font>
    <font>
      <sz val="10"/>
      <color rgb="FF000000"/>
      <name val="Calibri"/>
      <family val="2"/>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7" tint="0.79998168889431442"/>
        <bgColor indexed="64"/>
      </patternFill>
    </fill>
    <fill>
      <patternFill patternType="solid">
        <fgColor theme="6" tint="0.59999389629810485"/>
        <bgColor indexed="64"/>
      </patternFill>
    </fill>
    <fill>
      <patternFill patternType="solid">
        <fgColor rgb="FFFF0000"/>
        <bgColor indexed="64"/>
      </patternFill>
    </fill>
    <fill>
      <patternFill patternType="solid">
        <fgColor rgb="FFD9D9D9"/>
        <bgColor indexed="64"/>
      </patternFill>
    </fill>
    <fill>
      <patternFill patternType="solid">
        <fgColor theme="0"/>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8DB4E3"/>
        <bgColor indexed="64"/>
      </patternFill>
    </fill>
    <fill>
      <patternFill patternType="solid">
        <fgColor rgb="FFF2F2F2"/>
        <bgColor indexed="64"/>
      </patternFill>
    </fill>
    <fill>
      <patternFill patternType="solid">
        <fgColor theme="0" tint="-0.14999847407452621"/>
        <bgColor indexed="64"/>
      </patternFill>
    </fill>
    <fill>
      <patternFill patternType="solid">
        <fgColor rgb="FFFFFF00"/>
        <bgColor indexed="64"/>
      </patternFill>
    </fill>
  </fills>
  <borders count="26">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rgb="FF7F7F7F"/>
      </left>
      <right style="medium">
        <color indexed="64"/>
      </right>
      <top style="thin">
        <color rgb="FF7F7F7F"/>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ck">
        <color rgb="FFFFFFFF"/>
      </right>
      <top style="thick">
        <color rgb="FFFFFFFF"/>
      </top>
      <bottom style="thick">
        <color rgb="FFFFFFFF"/>
      </bottom>
      <diagonal/>
    </border>
    <border>
      <left/>
      <right style="thick">
        <color rgb="FFFFFFFF"/>
      </right>
      <top/>
      <bottom style="thick">
        <color rgb="FFFFFFFF"/>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2" borderId="1" applyNumberFormat="0" applyAlignment="0" applyProtection="0"/>
    <xf numFmtId="0" fontId="3" fillId="3" borderId="2" applyNumberFormat="0" applyAlignment="0" applyProtection="0"/>
    <xf numFmtId="0" fontId="4" fillId="3" borderId="1" applyNumberFormat="0" applyAlignment="0" applyProtection="0"/>
    <xf numFmtId="165" fontId="1" fillId="0" borderId="0" applyFont="0" applyFill="0" applyBorder="0" applyAlignment="0" applyProtection="0"/>
    <xf numFmtId="0" fontId="14" fillId="0" borderId="0" applyNumberFormat="0" applyFill="0" applyBorder="0" applyAlignment="0" applyProtection="0"/>
  </cellStyleXfs>
  <cellXfs count="137">
    <xf numFmtId="0" fontId="0" fillId="0" borderId="0" xfId="0"/>
    <xf numFmtId="0" fontId="7" fillId="0" borderId="0" xfId="0" applyFont="1"/>
    <xf numFmtId="0" fontId="0" fillId="0" borderId="0" xfId="0" applyAlignment="1">
      <alignment wrapText="1"/>
    </xf>
    <xf numFmtId="49" fontId="0" fillId="0" borderId="0" xfId="0" applyNumberFormat="1"/>
    <xf numFmtId="49" fontId="5" fillId="4" borderId="0" xfId="0" applyNumberFormat="1" applyFont="1" applyFill="1"/>
    <xf numFmtId="49" fontId="9" fillId="4" borderId="0" xfId="0" applyNumberFormat="1" applyFont="1" applyFill="1"/>
    <xf numFmtId="49" fontId="10" fillId="4" borderId="0" xfId="0" applyNumberFormat="1" applyFont="1" applyFill="1"/>
    <xf numFmtId="0" fontId="5" fillId="0" borderId="0" xfId="0" applyFont="1"/>
    <xf numFmtId="0" fontId="0" fillId="0" borderId="0" xfId="0" applyProtection="1">
      <protection locked="0"/>
    </xf>
    <xf numFmtId="165" fontId="3" fillId="3" borderId="3" xfId="6" applyFont="1" applyFill="1" applyBorder="1" applyProtection="1">
      <protection locked="0"/>
    </xf>
    <xf numFmtId="0" fontId="3" fillId="3" borderId="3" xfId="4" applyBorder="1" applyAlignment="1" applyProtection="1">
      <alignment horizontal="center"/>
      <protection locked="0"/>
    </xf>
    <xf numFmtId="165" fontId="4" fillId="3" borderId="1" xfId="6" applyFont="1" applyFill="1" applyBorder="1" applyProtection="1">
      <protection locked="0"/>
    </xf>
    <xf numFmtId="0" fontId="4" fillId="3" borderId="1" xfId="5" applyAlignment="1" applyProtection="1">
      <alignment horizontal="center"/>
      <protection locked="0"/>
    </xf>
    <xf numFmtId="0" fontId="4" fillId="3" borderId="1" xfId="5" applyProtection="1">
      <protection locked="0"/>
    </xf>
    <xf numFmtId="166" fontId="4" fillId="3" borderId="1" xfId="5" applyNumberFormat="1" applyProtection="1">
      <protection locked="0"/>
    </xf>
    <xf numFmtId="0" fontId="6" fillId="0" borderId="0" xfId="0" applyFont="1" applyProtection="1">
      <protection locked="0"/>
    </xf>
    <xf numFmtId="0" fontId="2" fillId="0" borderId="0" xfId="3" applyFill="1" applyBorder="1" applyProtection="1">
      <protection locked="0"/>
    </xf>
    <xf numFmtId="166" fontId="0" fillId="0" borderId="0" xfId="0" applyNumberFormat="1" applyProtection="1">
      <protection locked="0"/>
    </xf>
    <xf numFmtId="0" fontId="12" fillId="0" borderId="0" xfId="3" applyFont="1" applyFill="1" applyBorder="1" applyProtection="1">
      <protection locked="0"/>
    </xf>
    <xf numFmtId="0" fontId="14" fillId="0" borderId="0" xfId="7" applyProtection="1">
      <protection locked="0"/>
    </xf>
    <xf numFmtId="0" fontId="2" fillId="2" borderId="1" xfId="3" applyProtection="1">
      <protection locked="0"/>
    </xf>
    <xf numFmtId="166" fontId="2" fillId="2" borderId="1" xfId="6" applyNumberFormat="1" applyFont="1" applyFill="1" applyBorder="1" applyProtection="1">
      <protection locked="0"/>
    </xf>
    <xf numFmtId="9" fontId="2" fillId="2" borderId="1" xfId="3" applyNumberFormat="1" applyProtection="1">
      <protection locked="0"/>
    </xf>
    <xf numFmtId="0" fontId="0" fillId="0" borderId="0" xfId="0" applyAlignment="1" applyProtection="1">
      <alignment vertical="center"/>
      <protection locked="0"/>
    </xf>
    <xf numFmtId="0" fontId="0" fillId="0" borderId="0" xfId="0" applyAlignment="1" applyProtection="1">
      <alignment horizontal="right" vertical="center"/>
      <protection locked="0"/>
    </xf>
    <xf numFmtId="0" fontId="6" fillId="0" borderId="0" xfId="0" applyFont="1" applyAlignment="1" applyProtection="1">
      <alignment vertical="center"/>
      <protection locked="0"/>
    </xf>
    <xf numFmtId="0" fontId="14" fillId="0" borderId="0" xfId="7" applyAlignment="1" applyProtection="1">
      <alignment vertical="center"/>
      <protection locked="0"/>
    </xf>
    <xf numFmtId="0" fontId="0" fillId="0" borderId="0" xfId="0" applyAlignment="1" applyProtection="1">
      <alignment horizontal="left" vertical="center" wrapText="1"/>
      <protection locked="0"/>
    </xf>
    <xf numFmtId="167" fontId="0" fillId="0" borderId="0" xfId="0" applyNumberFormat="1" applyProtection="1">
      <protection locked="0"/>
    </xf>
    <xf numFmtId="167" fontId="0" fillId="5" borderId="0" xfId="0" applyNumberFormat="1" applyFill="1" applyProtection="1">
      <protection locked="0"/>
    </xf>
    <xf numFmtId="167" fontId="4" fillId="3" borderId="1" xfId="5" applyNumberFormat="1" applyProtection="1">
      <protection locked="0"/>
    </xf>
    <xf numFmtId="164" fontId="0" fillId="0" borderId="0" xfId="1" applyFont="1" applyProtection="1">
      <protection locked="0"/>
    </xf>
    <xf numFmtId="168" fontId="1" fillId="0" borderId="0" xfId="2" applyNumberFormat="1" applyFont="1" applyProtection="1">
      <protection locked="0"/>
    </xf>
    <xf numFmtId="0" fontId="0" fillId="0" borderId="0" xfId="0"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4" fillId="3" borderId="1" xfId="5" applyAlignment="1" applyProtection="1">
      <alignment horizontal="center" vertical="center" wrapText="1"/>
      <protection locked="0"/>
    </xf>
    <xf numFmtId="0" fontId="16" fillId="0" borderId="0" xfId="0" applyFont="1" applyProtection="1">
      <protection locked="0"/>
    </xf>
    <xf numFmtId="10" fontId="0" fillId="0" borderId="0" xfId="0" applyNumberFormat="1" applyProtection="1">
      <protection locked="0"/>
    </xf>
    <xf numFmtId="164" fontId="1" fillId="0" borderId="0" xfId="1" applyFont="1" applyProtection="1">
      <protection locked="0"/>
    </xf>
    <xf numFmtId="0" fontId="6" fillId="0" borderId="0" xfId="0" applyFont="1" applyAlignment="1" applyProtection="1">
      <alignment vertical="center" wrapText="1"/>
      <protection locked="0"/>
    </xf>
    <xf numFmtId="0" fontId="0" fillId="0" borderId="3" xfId="0" applyBorder="1" applyAlignment="1" applyProtection="1">
      <alignment vertical="center" wrapText="1"/>
      <protection locked="0"/>
    </xf>
    <xf numFmtId="0" fontId="6" fillId="0" borderId="3" xfId="0" applyFont="1" applyBorder="1" applyAlignment="1" applyProtection="1">
      <alignment vertical="center" wrapText="1"/>
      <protection locked="0"/>
    </xf>
    <xf numFmtId="169" fontId="12" fillId="0" borderId="0" xfId="0" applyNumberFormat="1" applyFont="1" applyAlignment="1" applyProtection="1">
      <alignment vertical="center" wrapText="1"/>
      <protection locked="0"/>
    </xf>
    <xf numFmtId="10" fontId="1" fillId="0" borderId="3" xfId="2" applyNumberFormat="1" applyFont="1" applyBorder="1" applyProtection="1">
      <protection locked="0"/>
    </xf>
    <xf numFmtId="10" fontId="1" fillId="0" borderId="0" xfId="2" applyNumberFormat="1" applyFont="1" applyProtection="1">
      <protection locked="0"/>
    </xf>
    <xf numFmtId="10" fontId="6" fillId="0" borderId="0" xfId="0" applyNumberFormat="1" applyFont="1" applyProtection="1">
      <protection locked="0"/>
    </xf>
    <xf numFmtId="0" fontId="6" fillId="0" borderId="3" xfId="0" applyFont="1" applyBorder="1" applyProtection="1">
      <protection locked="0"/>
    </xf>
    <xf numFmtId="10" fontId="2" fillId="2" borderId="7" xfId="3" applyNumberFormat="1" applyBorder="1" applyAlignment="1" applyProtection="1">
      <alignment vertical="center" wrapText="1"/>
      <protection locked="0"/>
    </xf>
    <xf numFmtId="0" fontId="0" fillId="0" borderId="8" xfId="0" applyBorder="1" applyAlignment="1" applyProtection="1">
      <alignment vertical="center"/>
      <protection locked="0"/>
    </xf>
    <xf numFmtId="0" fontId="2" fillId="2" borderId="9" xfId="3" applyBorder="1" applyAlignment="1" applyProtection="1">
      <alignment horizontal="right" vertical="center" wrapText="1"/>
      <protection locked="0"/>
    </xf>
    <xf numFmtId="0" fontId="0" fillId="0" borderId="10" xfId="0" applyBorder="1" applyAlignment="1" applyProtection="1">
      <alignment vertical="center"/>
      <protection locked="0"/>
    </xf>
    <xf numFmtId="0" fontId="2" fillId="2" borderId="9" xfId="3" applyBorder="1" applyAlignment="1" applyProtection="1">
      <alignment vertical="center" wrapText="1"/>
      <protection locked="0"/>
    </xf>
    <xf numFmtId="10" fontId="1" fillId="0" borderId="3" xfId="2" applyNumberFormat="1" applyFont="1" applyBorder="1" applyAlignment="1" applyProtection="1">
      <alignment vertical="center"/>
      <protection locked="0"/>
    </xf>
    <xf numFmtId="170" fontId="0" fillId="0" borderId="0" xfId="0" applyNumberFormat="1" applyProtection="1">
      <protection locked="0"/>
    </xf>
    <xf numFmtId="171" fontId="2" fillId="2" borderId="9" xfId="3" applyNumberFormat="1" applyBorder="1" applyAlignment="1" applyProtection="1">
      <alignment vertical="center" wrapText="1"/>
      <protection locked="0"/>
    </xf>
    <xf numFmtId="168" fontId="2" fillId="2" borderId="9" xfId="3" applyNumberFormat="1" applyBorder="1" applyAlignment="1" applyProtection="1">
      <alignment vertical="center" wrapText="1"/>
      <protection locked="0"/>
    </xf>
    <xf numFmtId="0" fontId="0" fillId="0" borderId="10" xfId="0" applyBorder="1" applyAlignment="1" applyProtection="1">
      <alignment vertical="center" wrapText="1"/>
      <protection locked="0"/>
    </xf>
    <xf numFmtId="0" fontId="6" fillId="0" borderId="0" xfId="0" applyFont="1" applyAlignment="1" applyProtection="1">
      <alignment horizontal="center"/>
      <protection locked="0"/>
    </xf>
    <xf numFmtId="10" fontId="0" fillId="0" borderId="3" xfId="0" applyNumberFormat="1" applyBorder="1" applyProtection="1">
      <protection locked="0"/>
    </xf>
    <xf numFmtId="0" fontId="6" fillId="0" borderId="3" xfId="0" applyFont="1" applyBorder="1" applyAlignment="1" applyProtection="1">
      <alignment horizontal="center" vertical="center" wrapText="1"/>
      <protection locked="0"/>
    </xf>
    <xf numFmtId="0" fontId="6" fillId="0" borderId="3" xfId="0" applyFont="1" applyBorder="1" applyAlignment="1" applyProtection="1">
      <alignment vertical="center"/>
      <protection locked="0"/>
    </xf>
    <xf numFmtId="0" fontId="16" fillId="0" borderId="11" xfId="0" applyFont="1" applyBorder="1" applyAlignment="1" applyProtection="1">
      <alignment horizontal="center" vertical="center"/>
      <protection locked="0"/>
    </xf>
    <xf numFmtId="0" fontId="16" fillId="0" borderId="12" xfId="0" applyFont="1" applyBorder="1" applyAlignment="1" applyProtection="1">
      <alignment horizontal="center" vertical="center"/>
      <protection locked="0"/>
    </xf>
    <xf numFmtId="10" fontId="1" fillId="0" borderId="0" xfId="2" applyNumberFormat="1" applyFont="1" applyAlignment="1" applyProtection="1">
      <alignment horizontal="center" vertical="center"/>
      <protection locked="0"/>
    </xf>
    <xf numFmtId="164" fontId="4" fillId="3" borderId="13" xfId="5" applyNumberFormat="1" applyBorder="1" applyAlignment="1" applyProtection="1">
      <alignment vertical="center"/>
      <protection locked="0"/>
    </xf>
    <xf numFmtId="0" fontId="6" fillId="0" borderId="8" xfId="0" applyFont="1" applyBorder="1" applyAlignment="1" applyProtection="1">
      <alignment vertical="center"/>
      <protection locked="0"/>
    </xf>
    <xf numFmtId="0" fontId="16" fillId="0" borderId="11" xfId="0" applyFont="1" applyBorder="1" applyAlignment="1" applyProtection="1">
      <alignment horizontal="center"/>
      <protection locked="0"/>
    </xf>
    <xf numFmtId="0" fontId="16" fillId="0" borderId="12" xfId="0" applyFont="1" applyBorder="1" applyAlignment="1" applyProtection="1">
      <alignment horizontal="center"/>
      <protection locked="0"/>
    </xf>
    <xf numFmtId="0" fontId="0" fillId="0" borderId="0" xfId="0" applyAlignment="1" applyProtection="1">
      <alignment vertical="center" wrapText="1"/>
      <protection locked="0"/>
    </xf>
    <xf numFmtId="0" fontId="14" fillId="0" borderId="0" xfId="7" applyAlignment="1" applyProtection="1">
      <alignment vertical="center" wrapText="1"/>
      <protection locked="0"/>
    </xf>
    <xf numFmtId="0" fontId="0" fillId="0" borderId="0" xfId="0" applyAlignment="1">
      <alignment horizontal="left" vertical="center" wrapText="1"/>
    </xf>
    <xf numFmtId="0" fontId="7" fillId="0" borderId="0" xfId="0" applyFont="1" applyAlignment="1">
      <alignment wrapText="1"/>
    </xf>
    <xf numFmtId="0" fontId="19" fillId="0" borderId="0" xfId="0" applyFont="1"/>
    <xf numFmtId="0" fontId="20" fillId="0" borderId="0" xfId="0" applyFont="1"/>
    <xf numFmtId="0" fontId="20" fillId="0" borderId="0" xfId="0" applyFont="1" applyAlignment="1">
      <alignment wrapText="1"/>
    </xf>
    <xf numFmtId="0" fontId="24" fillId="0" borderId="0" xfId="0" applyFont="1"/>
    <xf numFmtId="0" fontId="24" fillId="4" borderId="0" xfId="0" applyFont="1" applyFill="1"/>
    <xf numFmtId="0" fontId="21" fillId="4" borderId="0" xfId="0" applyFont="1" applyFill="1"/>
    <xf numFmtId="49" fontId="11" fillId="0" borderId="16" xfId="0" applyNumberFormat="1" applyFont="1" applyBorder="1"/>
    <xf numFmtId="0" fontId="22" fillId="0" borderId="17" xfId="0" applyFont="1" applyBorder="1"/>
    <xf numFmtId="0" fontId="23" fillId="0" borderId="17" xfId="0" applyFont="1" applyBorder="1"/>
    <xf numFmtId="0" fontId="12" fillId="6" borderId="16" xfId="0" applyFont="1" applyFill="1" applyBorder="1"/>
    <xf numFmtId="0" fontId="24" fillId="6" borderId="17" xfId="0" applyFont="1" applyFill="1" applyBorder="1"/>
    <xf numFmtId="0" fontId="24" fillId="0" borderId="17" xfId="0" applyFont="1" applyBorder="1"/>
    <xf numFmtId="49" fontId="11" fillId="0" borderId="17" xfId="0" applyNumberFormat="1" applyFont="1" applyBorder="1"/>
    <xf numFmtId="49" fontId="12" fillId="4" borderId="16" xfId="0" applyNumberFormat="1" applyFont="1" applyFill="1" applyBorder="1"/>
    <xf numFmtId="0" fontId="23" fillId="4" borderId="17" xfId="0" applyFont="1" applyFill="1" applyBorder="1"/>
    <xf numFmtId="49" fontId="0" fillId="4" borderId="16" xfId="0" applyNumberFormat="1" applyFill="1" applyBorder="1"/>
    <xf numFmtId="49" fontId="0" fillId="4" borderId="17" xfId="0" applyNumberFormat="1" applyFill="1" applyBorder="1"/>
    <xf numFmtId="49" fontId="10" fillId="4" borderId="16" xfId="0" applyNumberFormat="1" applyFont="1" applyFill="1" applyBorder="1"/>
    <xf numFmtId="49" fontId="10" fillId="4" borderId="17" xfId="0" applyNumberFormat="1" applyFont="1" applyFill="1" applyBorder="1"/>
    <xf numFmtId="0" fontId="24" fillId="4" borderId="17" xfId="0" applyFont="1" applyFill="1" applyBorder="1"/>
    <xf numFmtId="49" fontId="0" fillId="4" borderId="18" xfId="0" applyNumberFormat="1" applyFill="1" applyBorder="1"/>
    <xf numFmtId="0" fontId="24" fillId="4" borderId="19" xfId="0" applyFont="1" applyFill="1" applyBorder="1"/>
    <xf numFmtId="0" fontId="19" fillId="0" borderId="0" xfId="0" applyFont="1" applyAlignment="1">
      <alignment wrapText="1"/>
    </xf>
    <xf numFmtId="0" fontId="0" fillId="8" borderId="0" xfId="0" applyFill="1"/>
    <xf numFmtId="0" fontId="0" fillId="8" borderId="3" xfId="0" applyFill="1" applyBorder="1"/>
    <xf numFmtId="0" fontId="0" fillId="8" borderId="0" xfId="0" applyFill="1" applyAlignment="1">
      <alignment horizontal="left"/>
    </xf>
    <xf numFmtId="0" fontId="0" fillId="8" borderId="3" xfId="0" applyFill="1" applyBorder="1" applyAlignment="1">
      <alignment horizontal="left"/>
    </xf>
    <xf numFmtId="49" fontId="0" fillId="8" borderId="3" xfId="0" applyNumberFormat="1" applyFill="1" applyBorder="1" applyAlignment="1">
      <alignment horizontal="left"/>
    </xf>
    <xf numFmtId="0" fontId="12" fillId="8" borderId="3" xfId="0" applyFont="1" applyFill="1" applyBorder="1" applyAlignment="1">
      <alignment horizontal="left"/>
    </xf>
    <xf numFmtId="0" fontId="6" fillId="9" borderId="3" xfId="0" applyFont="1" applyFill="1" applyBorder="1"/>
    <xf numFmtId="0" fontId="0" fillId="8" borderId="20" xfId="0" applyFill="1" applyBorder="1"/>
    <xf numFmtId="0" fontId="0" fillId="8" borderId="20" xfId="0" applyFill="1" applyBorder="1" applyAlignment="1">
      <alignment horizontal="left"/>
    </xf>
    <xf numFmtId="0" fontId="25" fillId="10" borderId="21" xfId="0" applyFont="1" applyFill="1" applyBorder="1" applyAlignment="1">
      <alignment horizontal="center"/>
    </xf>
    <xf numFmtId="0" fontId="25" fillId="10" borderId="22" xfId="0" applyFont="1" applyFill="1" applyBorder="1" applyAlignment="1">
      <alignment horizontal="center"/>
    </xf>
    <xf numFmtId="0" fontId="25" fillId="10" borderId="23" xfId="0" applyFont="1" applyFill="1" applyBorder="1" applyAlignment="1">
      <alignment horizontal="center"/>
    </xf>
    <xf numFmtId="0" fontId="0" fillId="9" borderId="20" xfId="0" applyFill="1" applyBorder="1"/>
    <xf numFmtId="0" fontId="26" fillId="11" borderId="24" xfId="0" applyFont="1" applyFill="1" applyBorder="1" applyAlignment="1" applyProtection="1">
      <alignment horizontal="center" vertical="center"/>
      <protection locked="0"/>
    </xf>
    <xf numFmtId="0" fontId="27" fillId="12" borderId="25" xfId="0" applyFont="1" applyFill="1" applyBorder="1" applyAlignment="1" applyProtection="1">
      <alignment horizontal="center" vertical="center"/>
      <protection locked="0"/>
    </xf>
    <xf numFmtId="10" fontId="27" fillId="12" borderId="25" xfId="0" applyNumberFormat="1" applyFont="1" applyFill="1" applyBorder="1" applyAlignment="1" applyProtection="1">
      <alignment horizontal="right" vertical="center"/>
      <protection locked="0"/>
    </xf>
    <xf numFmtId="0" fontId="27" fillId="7" borderId="25" xfId="0" applyFont="1" applyFill="1" applyBorder="1" applyAlignment="1" applyProtection="1">
      <alignment horizontal="center" vertical="center"/>
      <protection locked="0"/>
    </xf>
    <xf numFmtId="9" fontId="27" fillId="7" borderId="25" xfId="0" applyNumberFormat="1" applyFont="1" applyFill="1" applyBorder="1" applyAlignment="1" applyProtection="1">
      <alignment horizontal="right" vertical="center"/>
      <protection locked="0"/>
    </xf>
    <xf numFmtId="10" fontId="27" fillId="7" borderId="25" xfId="0" applyNumberFormat="1" applyFont="1" applyFill="1" applyBorder="1" applyAlignment="1" applyProtection="1">
      <alignment horizontal="right" vertical="center"/>
      <protection locked="0"/>
    </xf>
    <xf numFmtId="0" fontId="0" fillId="13" borderId="3" xfId="0" applyFill="1" applyBorder="1"/>
    <xf numFmtId="0" fontId="0" fillId="13" borderId="3" xfId="0" applyFill="1" applyBorder="1" applyAlignment="1">
      <alignment horizontal="left"/>
    </xf>
    <xf numFmtId="0" fontId="0" fillId="13" borderId="0" xfId="0" applyFill="1"/>
    <xf numFmtId="0" fontId="6" fillId="13" borderId="3" xfId="0" applyFont="1" applyFill="1" applyBorder="1"/>
    <xf numFmtId="49" fontId="0" fillId="13" borderId="3" xfId="0" applyNumberFormat="1" applyFill="1" applyBorder="1" applyAlignment="1">
      <alignment horizontal="left"/>
    </xf>
    <xf numFmtId="0" fontId="0" fillId="14" borderId="3" xfId="0" applyFill="1" applyBorder="1"/>
    <xf numFmtId="0" fontId="6" fillId="14" borderId="3" xfId="0" applyFont="1" applyFill="1" applyBorder="1"/>
    <xf numFmtId="0" fontId="0" fillId="14" borderId="0" xfId="0" applyFill="1"/>
    <xf numFmtId="0" fontId="0" fillId="14" borderId="3" xfId="0" applyFill="1" applyBorder="1" applyAlignment="1">
      <alignment horizontal="left"/>
    </xf>
    <xf numFmtId="8" fontId="1" fillId="0" borderId="0" xfId="1" applyNumberFormat="1" applyFont="1" applyProtection="1">
      <protection locked="0"/>
    </xf>
    <xf numFmtId="0" fontId="0" fillId="8" borderId="3" xfId="0" applyFill="1" applyBorder="1" applyAlignment="1">
      <alignment wrapText="1"/>
    </xf>
    <xf numFmtId="0" fontId="0" fillId="0" borderId="0" xfId="0" applyAlignment="1">
      <alignment horizontal="center"/>
    </xf>
    <xf numFmtId="0" fontId="18" fillId="0" borderId="0" xfId="0" applyFont="1" applyAlignment="1">
      <alignment horizontal="left" vertical="center" wrapText="1"/>
    </xf>
    <xf numFmtId="0" fontId="13" fillId="0" borderId="0" xfId="0" applyFont="1" applyAlignment="1" applyProtection="1">
      <alignment horizontal="lef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17" fillId="0" borderId="0" xfId="0" applyFont="1" applyAlignment="1" applyProtection="1">
      <alignment horizontal="left" vertical="center" wrapText="1"/>
      <protection locked="0"/>
    </xf>
    <xf numFmtId="0" fontId="0" fillId="0" borderId="5" xfId="0" applyBorder="1" applyAlignment="1" applyProtection="1">
      <alignment horizontal="left" vertical="center" wrapText="1"/>
      <protection locked="0"/>
    </xf>
    <xf numFmtId="0" fontId="0" fillId="0" borderId="6" xfId="0" applyBorder="1" applyAlignment="1" applyProtection="1">
      <alignment horizontal="left" vertical="center" wrapText="1"/>
      <protection locked="0"/>
    </xf>
    <xf numFmtId="0" fontId="0" fillId="0" borderId="4" xfId="0" applyBorder="1" applyAlignment="1" applyProtection="1">
      <alignment horizontal="left" vertical="center" wrapText="1"/>
      <protection locked="0"/>
    </xf>
    <xf numFmtId="49" fontId="6" fillId="0" borderId="14" xfId="0" applyNumberFormat="1" applyFont="1" applyBorder="1" applyAlignment="1">
      <alignment horizontal="center"/>
    </xf>
    <xf numFmtId="49" fontId="6" fillId="0" borderId="15" xfId="0" applyNumberFormat="1" applyFont="1" applyBorder="1" applyAlignment="1">
      <alignment horizontal="center"/>
    </xf>
    <xf numFmtId="49" fontId="6" fillId="0" borderId="0" xfId="0" applyNumberFormat="1" applyFont="1" applyAlignment="1">
      <alignment horizontal="center"/>
    </xf>
  </cellXfs>
  <cellStyles count="8">
    <cellStyle name="Cálculo" xfId="5" builtinId="22"/>
    <cellStyle name="Entrada" xfId="3" builtinId="20"/>
    <cellStyle name="Hipervínculo" xfId="7" builtinId="8"/>
    <cellStyle name="Millares" xfId="1" builtinId="3"/>
    <cellStyle name="Millares 2" xfId="6" xr:uid="{00000000-0005-0000-0000-000004000000}"/>
    <cellStyle name="Normal" xfId="0" builtinId="0"/>
    <cellStyle name="Porcentaje" xfId="2" builtinId="5"/>
    <cellStyle name="Salida" xfId="4" builtin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412750</xdr:colOff>
      <xdr:row>9</xdr:row>
      <xdr:rowOff>120650</xdr:rowOff>
    </xdr:from>
    <xdr:ext cx="5121551" cy="2235311"/>
    <xdr:pic>
      <xdr:nvPicPr>
        <xdr:cNvPr id="2" name="Picture 1">
          <a:extLst>
            <a:ext uri="{FF2B5EF4-FFF2-40B4-BE49-F238E27FC236}">
              <a16:creationId xmlns:a16="http://schemas.microsoft.com/office/drawing/2014/main" id="{2821613A-F7EB-44E0-8003-4DAC91AF7E77}"/>
            </a:ext>
          </a:extLst>
        </xdr:cNvPr>
        <xdr:cNvPicPr>
          <a:picLocks noChangeAspect="1"/>
        </xdr:cNvPicPr>
      </xdr:nvPicPr>
      <xdr:blipFill>
        <a:blip xmlns:r="http://schemas.openxmlformats.org/officeDocument/2006/relationships" r:embed="rId1"/>
        <a:stretch>
          <a:fillRect/>
        </a:stretch>
      </xdr:blipFill>
      <xdr:spPr>
        <a:xfrm>
          <a:off x="2736850" y="1835150"/>
          <a:ext cx="5121551" cy="2235311"/>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8</xdr:col>
      <xdr:colOff>505548</xdr:colOff>
      <xdr:row>4</xdr:row>
      <xdr:rowOff>567523</xdr:rowOff>
    </xdr:from>
    <xdr:ext cx="5063509" cy="5376767"/>
    <xdr:pic>
      <xdr:nvPicPr>
        <xdr:cNvPr id="2" name="Picture 5">
          <a:extLst>
            <a:ext uri="{FF2B5EF4-FFF2-40B4-BE49-F238E27FC236}">
              <a16:creationId xmlns:a16="http://schemas.microsoft.com/office/drawing/2014/main" id="{1066A5D4-4152-459A-995C-06F1ED0F1920}"/>
            </a:ext>
          </a:extLst>
        </xdr:cNvPr>
        <xdr:cNvPicPr>
          <a:picLocks noChangeAspect="1"/>
        </xdr:cNvPicPr>
      </xdr:nvPicPr>
      <xdr:blipFill>
        <a:blip xmlns:r="http://schemas.openxmlformats.org/officeDocument/2006/relationships" r:embed="rId1"/>
        <a:stretch>
          <a:fillRect/>
        </a:stretch>
      </xdr:blipFill>
      <xdr:spPr>
        <a:xfrm>
          <a:off x="11897448" y="2072473"/>
          <a:ext cx="5063509" cy="5376767"/>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fspxpcd1.lacaixa.glc.es\VUSER01\Users\Philip%20Murphy\Documents\Philip%20Murphy%20Documents\Spreadsheet%20Store%20Products\GanttChartSingleUser\ToFile\ganttchartNE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asfspxpcd1.lacaixa.glc.es\VUSER01\Users\canete\Downloads\Net%20Worth%20-%20Martina%20y%20Paul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aily Gantt Chart"/>
      <sheetName val="Weekly Gantt Chart"/>
      <sheetName val="Monthly Gantt Chart"/>
      <sheetName val="Macros"/>
    </sheetNames>
    <sheetDataSet>
      <sheetData sheetId="0" refreshError="1"/>
      <sheetData sheetId="1" refreshError="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t Worth"/>
      <sheetName val="ESTRATEGIA"/>
      <sheetName val="TD Luxemburgo"/>
      <sheetName val="Comisiones"/>
      <sheetName val="compounded interest"/>
      <sheetName val="Gastos"/>
      <sheetName val="Loan Calculator"/>
      <sheetName val="DB - Application form"/>
      <sheetName val="Retirement"/>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ORIOL LLUCH GUASCH" id="{34224096-C80E-4F0D-9118-57793A1ABEAE}" userId="S::U0145301@lacaixa.es::a7c9f655-1dae-45b4-bd7c-3d9e6ff9cc0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3" dT="2022-11-14T18:15:47.36" personId="{34224096-C80E-4F0D-9118-57793A1ABEAE}" id="{9376271A-D282-417F-9D3F-06F63802242B}">
    <text>¿validar CNAE?</text>
  </threadedComment>
  <threadedComment ref="E12" dT="2022-11-14T18:16:33.59" personId="{34224096-C80E-4F0D-9118-57793A1ABEAE}" id="{248D620C-571D-4D02-8E1B-C58944477DAD}">
    <text>¿validar CNAE?</text>
  </threadedComment>
</ThreadedComments>
</file>

<file path=xl/threadedComments/threadedComment2.xml><?xml version="1.0" encoding="utf-8"?>
<ThreadedComments xmlns="http://schemas.microsoft.com/office/spreadsheetml/2018/threadedcomments" xmlns:x="http://schemas.openxmlformats.org/spreadsheetml/2006/main">
  <threadedComment ref="C22" dT="2022-12-14T19:39:29.30" personId="{34224096-C80E-4F0D-9118-57793A1ABEAE}" id="{CD7CA762-49FD-42D7-A640-C204BE44306B}">
    <text>¿siempre es +1%?</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3.bin"/><Relationship Id="rId1" Type="http://schemas.openxmlformats.org/officeDocument/2006/relationships/hyperlink" Target="https://eur-lex.europa.eu/legal-content/EN/TXT/?uri=CELEX%3A02013R1407-20200727" TargetMode="External"/></Relationships>
</file>

<file path=xl/worksheets/_rels/sheet4.xml.rels><?xml version="1.0" encoding="UTF-8" standalone="yes"?>
<Relationships xmlns="http://schemas.openxmlformats.org/package/2006/relationships"><Relationship Id="rId8" Type="http://schemas.openxmlformats.org/officeDocument/2006/relationships/vmlDrawing" Target="../drawings/vmlDrawing2.vml"/><Relationship Id="rId3" Type="http://schemas.openxmlformats.org/officeDocument/2006/relationships/hyperlink" Target="https://eur-lex.europa.eu/legal-content/EN/TXT/?uri=celex%3A52008XC0620%2802%29R%2801%29" TargetMode="External"/><Relationship Id="rId7" Type="http://schemas.openxmlformats.org/officeDocument/2006/relationships/drawing" Target="../drawings/drawing2.xml"/><Relationship Id="rId2" Type="http://schemas.openxmlformats.org/officeDocument/2006/relationships/hyperlink" Target="https://eur-lex.europa.eu/legal-content/EN/TXT/?uri=CELEX%3A52008XC0620%2802%29" TargetMode="External"/><Relationship Id="rId1" Type="http://schemas.openxmlformats.org/officeDocument/2006/relationships/hyperlink" Target="https://ec.europa.eu/competition-policy/state-aid/legislation/reference-discount-rates-and-recovery-interest-rates/reference-and-discount_en" TargetMode="External"/><Relationship Id="rId6" Type="http://schemas.openxmlformats.org/officeDocument/2006/relationships/printerSettings" Target="../printerSettings/printerSettings4.bin"/><Relationship Id="rId5" Type="http://schemas.openxmlformats.org/officeDocument/2006/relationships/hyperlink" Target="https://ec.europa.eu/competition-policy/state-aid/legislation/reference-discount-rates-and-recovery-interest-rates/reference-and-discount_en" TargetMode="External"/><Relationship Id="rId10" Type="http://schemas.microsoft.com/office/2017/10/relationships/threadedComment" Target="../threadedComments/threadedComment2.xml"/><Relationship Id="rId4" Type="http://schemas.openxmlformats.org/officeDocument/2006/relationships/hyperlink" Target="https://eur-lex.europa.eu/legal-content/EN/TXT/?uri=CELEX%3A32013R1407" TargetMode="External"/><Relationship Id="rId9"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8"/>
  <sheetViews>
    <sheetView tabSelected="1" workbookViewId="0">
      <selection activeCell="B2" sqref="B2"/>
    </sheetView>
  </sheetViews>
  <sheetFormatPr defaultColWidth="11.42578125" defaultRowHeight="15"/>
  <cols>
    <col min="1" max="1" width="57.42578125" style="95" bestFit="1" customWidth="1"/>
    <col min="2" max="2" width="22.5703125" style="95" bestFit="1" customWidth="1"/>
    <col min="3" max="3" width="56.28515625" style="97" customWidth="1"/>
    <col min="4" max="4" width="83" style="95" bestFit="1" customWidth="1"/>
    <col min="5" max="16384" width="11.42578125" style="95"/>
  </cols>
  <sheetData>
    <row r="1" spans="1:4" ht="15.75" thickBot="1">
      <c r="A1" s="104"/>
      <c r="B1" s="105"/>
      <c r="C1" s="105"/>
      <c r="D1" s="106"/>
    </row>
    <row r="2" spans="1:4">
      <c r="A2" s="102" t="s">
        <v>0</v>
      </c>
      <c r="B2" s="55">
        <v>0.8</v>
      </c>
      <c r="C2" s="103"/>
      <c r="D2" s="102"/>
    </row>
    <row r="3" spans="1:4">
      <c r="A3" s="96" t="s">
        <v>1</v>
      </c>
      <c r="B3" s="96"/>
      <c r="C3" s="98"/>
      <c r="D3" s="96"/>
    </row>
    <row r="4" spans="1:4" s="116" customFormat="1" ht="24.75" customHeight="1">
      <c r="A4" s="114" t="s">
        <v>2</v>
      </c>
      <c r="B4" s="114"/>
      <c r="C4" s="115"/>
      <c r="D4" s="114"/>
    </row>
    <row r="5" spans="1:4">
      <c r="A5" s="96" t="s">
        <v>3</v>
      </c>
      <c r="B5" s="96">
        <v>10</v>
      </c>
      <c r="C5" s="98"/>
      <c r="D5" s="96"/>
    </row>
    <row r="6" spans="1:4">
      <c r="A6" s="96" t="s">
        <v>4</v>
      </c>
      <c r="B6" s="96">
        <f>MIN(B4:B5)</f>
        <v>10</v>
      </c>
      <c r="C6" s="98"/>
      <c r="D6" s="96"/>
    </row>
    <row r="7" spans="1:4" ht="30.75">
      <c r="A7" s="124" t="s">
        <v>5</v>
      </c>
      <c r="B7" s="98">
        <f>200/(1500*5)</f>
        <v>2.6666666666666668E-2</v>
      </c>
      <c r="D7" s="96"/>
    </row>
    <row r="8" spans="1:4">
      <c r="A8" s="96"/>
      <c r="B8" s="96"/>
      <c r="C8" s="98"/>
      <c r="D8" s="96"/>
    </row>
    <row r="9" spans="1:4">
      <c r="A9" s="96"/>
      <c r="B9" s="96"/>
      <c r="C9" s="98"/>
      <c r="D9" s="96"/>
    </row>
    <row r="10" spans="1:4" s="116" customFormat="1" ht="36.75" customHeight="1">
      <c r="A10" s="114" t="s">
        <v>6</v>
      </c>
      <c r="B10" s="114">
        <f>B2*B3*B6*B7</f>
        <v>0</v>
      </c>
      <c r="C10" s="115"/>
      <c r="D10" s="114"/>
    </row>
    <row r="11" spans="1:4">
      <c r="A11" s="96"/>
      <c r="B11" s="96"/>
      <c r="C11" s="98"/>
      <c r="D11" s="96"/>
    </row>
    <row r="12" spans="1:4">
      <c r="A12" s="96"/>
      <c r="B12" s="96"/>
      <c r="C12" s="98"/>
      <c r="D12" s="96"/>
    </row>
    <row r="13" spans="1:4" customFormat="1">
      <c r="A13" s="96"/>
      <c r="B13" s="96"/>
      <c r="C13" s="99"/>
      <c r="D13" s="96"/>
    </row>
    <row r="14" spans="1:4" customFormat="1">
      <c r="A14" s="96"/>
      <c r="B14" s="96"/>
      <c r="C14" s="99"/>
      <c r="D14" s="96"/>
    </row>
    <row r="15" spans="1:4" customFormat="1">
      <c r="A15" s="96"/>
      <c r="B15" s="96"/>
      <c r="C15" s="99"/>
      <c r="D15" s="96"/>
    </row>
    <row r="16" spans="1:4" customFormat="1">
      <c r="A16" s="96"/>
      <c r="B16" s="96"/>
      <c r="C16" s="99"/>
      <c r="D16" s="96"/>
    </row>
    <row r="17" spans="1:4" customFormat="1">
      <c r="A17" s="96"/>
      <c r="B17" s="96"/>
      <c r="C17" s="98"/>
      <c r="D17" s="96"/>
    </row>
    <row r="18" spans="1:4" customFormat="1">
      <c r="A18" s="96"/>
      <c r="B18" s="96"/>
      <c r="C18" s="98"/>
      <c r="D18" s="96"/>
    </row>
    <row r="19" spans="1:4">
      <c r="A19" s="96"/>
      <c r="B19" s="107"/>
      <c r="C19" s="98"/>
      <c r="D19" s="96"/>
    </row>
    <row r="20" spans="1:4">
      <c r="A20" s="96"/>
      <c r="B20" s="96"/>
      <c r="C20" s="98"/>
      <c r="D20" s="96"/>
    </row>
    <row r="21" spans="1:4" s="116" customFormat="1" ht="8.25" customHeight="1">
      <c r="A21" s="114"/>
      <c r="B21" s="117"/>
      <c r="C21" s="115"/>
      <c r="D21" s="114"/>
    </row>
    <row r="22" spans="1:4">
      <c r="A22" s="96"/>
      <c r="B22" s="101"/>
      <c r="C22" s="98"/>
      <c r="D22" s="96"/>
    </row>
    <row r="23" spans="1:4">
      <c r="A23" s="96"/>
      <c r="B23" s="96"/>
      <c r="C23" s="99"/>
      <c r="D23" s="96"/>
    </row>
    <row r="24" spans="1:4">
      <c r="A24" s="96"/>
      <c r="B24" s="101"/>
      <c r="C24" s="99"/>
      <c r="D24" s="96"/>
    </row>
    <row r="25" spans="1:4" s="116" customFormat="1" ht="7.5" customHeight="1">
      <c r="A25" s="114"/>
      <c r="B25" s="117"/>
      <c r="C25" s="118"/>
      <c r="D25" s="114"/>
    </row>
    <row r="26" spans="1:4">
      <c r="A26" s="96"/>
      <c r="B26" s="96"/>
      <c r="C26" s="98"/>
      <c r="D26" s="96"/>
    </row>
    <row r="27" spans="1:4">
      <c r="A27" s="96"/>
      <c r="B27" s="96"/>
      <c r="C27" s="98"/>
      <c r="D27" s="96"/>
    </row>
    <row r="28" spans="1:4">
      <c r="A28" s="96"/>
      <c r="B28" s="96"/>
      <c r="C28" s="98"/>
      <c r="D28" s="96"/>
    </row>
    <row r="29" spans="1:4">
      <c r="A29" s="96"/>
      <c r="B29" s="96"/>
      <c r="C29" s="98"/>
      <c r="D29" s="96"/>
    </row>
    <row r="30" spans="1:4">
      <c r="A30" s="96"/>
      <c r="B30" s="101"/>
      <c r="C30" s="98"/>
      <c r="D30" s="96"/>
    </row>
    <row r="31" spans="1:4">
      <c r="A31" s="96"/>
      <c r="B31" s="101"/>
      <c r="C31" s="98"/>
      <c r="D31" s="96"/>
    </row>
    <row r="32" spans="1:4">
      <c r="A32" s="96"/>
      <c r="B32" s="96"/>
      <c r="C32" s="100"/>
      <c r="D32" s="96"/>
    </row>
    <row r="33" spans="1:4">
      <c r="A33" s="96"/>
      <c r="B33" s="96"/>
      <c r="C33" s="100"/>
      <c r="D33" s="96"/>
    </row>
    <row r="34" spans="1:4">
      <c r="A34" s="96"/>
      <c r="B34" s="96"/>
      <c r="C34" s="99"/>
      <c r="D34" s="96"/>
    </row>
    <row r="35" spans="1:4">
      <c r="A35" s="96"/>
      <c r="B35" s="96"/>
      <c r="C35" s="98"/>
      <c r="D35" s="96"/>
    </row>
    <row r="36" spans="1:4">
      <c r="A36" s="96"/>
      <c r="B36" s="96"/>
      <c r="C36" s="98"/>
      <c r="D36" s="96"/>
    </row>
    <row r="37" spans="1:4" s="116" customFormat="1" ht="7.5" customHeight="1">
      <c r="A37" s="114"/>
      <c r="B37" s="114"/>
      <c r="C37" s="115"/>
      <c r="D37" s="114"/>
    </row>
    <row r="38" spans="1:4">
      <c r="A38" s="96"/>
      <c r="B38" s="96"/>
      <c r="C38" s="98"/>
      <c r="D38" s="96"/>
    </row>
    <row r="39" spans="1:4" s="121" customFormat="1">
      <c r="A39" s="119"/>
      <c r="B39" s="120"/>
      <c r="C39" s="119"/>
    </row>
    <row r="40" spans="1:4" s="121" customFormat="1">
      <c r="A40" s="119"/>
      <c r="B40" s="120"/>
      <c r="C40" s="122"/>
      <c r="D40" s="119"/>
    </row>
    <row r="41" spans="1:4" s="121" customFormat="1">
      <c r="A41" s="119"/>
      <c r="B41" s="119"/>
      <c r="C41" s="122"/>
      <c r="D41" s="119"/>
    </row>
    <row r="42" spans="1:4" s="121" customFormat="1">
      <c r="A42" s="119"/>
      <c r="B42" s="119"/>
      <c r="C42" s="122"/>
      <c r="D42" s="119"/>
    </row>
    <row r="43" spans="1:4" s="121" customFormat="1">
      <c r="A43" s="119"/>
      <c r="B43" s="120"/>
      <c r="C43" s="119"/>
    </row>
    <row r="44" spans="1:4" s="121" customFormat="1">
      <c r="A44" s="119"/>
      <c r="B44" s="120"/>
      <c r="C44" s="122"/>
      <c r="D44" s="119"/>
    </row>
    <row r="45" spans="1:4" s="116" customFormat="1" ht="7.5" customHeight="1">
      <c r="A45" s="114"/>
      <c r="B45" s="114"/>
      <c r="C45" s="115"/>
      <c r="D45" s="114"/>
    </row>
    <row r="46" spans="1:4">
      <c r="A46" s="96"/>
      <c r="B46" s="101"/>
      <c r="C46" s="98"/>
      <c r="D46" s="96"/>
    </row>
    <row r="47" spans="1:4">
      <c r="A47" s="96"/>
      <c r="B47" s="96"/>
      <c r="C47" s="98"/>
      <c r="D47" s="96"/>
    </row>
    <row r="48" spans="1:4">
      <c r="A48" s="96"/>
      <c r="B48" s="101"/>
      <c r="C48" s="98"/>
      <c r="D48" s="96"/>
    </row>
  </sheetData>
  <phoneticPr fontId="8"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DE7ED37-4A8C-49E6-AE6E-AAE5F63171E1}">
          <x14:formula1>
            <xm:f>CNAE_Anexo1!$C$54:$C$98</xm:f>
          </x14:formula1>
          <xm:sqref>D30</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B2:I19"/>
  <sheetViews>
    <sheetView workbookViewId="0">
      <selection activeCell="G11" sqref="G11"/>
    </sheetView>
  </sheetViews>
  <sheetFormatPr defaultColWidth="11.42578125" defaultRowHeight="15"/>
  <cols>
    <col min="1" max="1" width="4.7109375" customWidth="1"/>
    <col min="2" max="2" width="20.140625" bestFit="1" customWidth="1"/>
    <col min="4" max="4" width="12.5703125" hidden="1" customWidth="1"/>
    <col min="5" max="5" width="17.28515625" hidden="1" customWidth="1"/>
    <col min="6" max="6" width="0" hidden="1" customWidth="1"/>
    <col min="7" max="7" width="18" customWidth="1"/>
    <col min="8" max="8" width="66.85546875" customWidth="1"/>
    <col min="9" max="9" width="99.28515625" bestFit="1" customWidth="1"/>
  </cols>
  <sheetData>
    <row r="2" spans="2:9" ht="60">
      <c r="B2" s="1" t="s">
        <v>7</v>
      </c>
      <c r="C2" s="1" t="s">
        <v>8</v>
      </c>
      <c r="D2" s="1" t="s">
        <v>9</v>
      </c>
      <c r="E2" s="1"/>
      <c r="F2" s="1" t="s">
        <v>10</v>
      </c>
      <c r="G2" s="71" t="s">
        <v>11</v>
      </c>
      <c r="H2" s="1" t="s">
        <v>12</v>
      </c>
      <c r="I2" s="1" t="s">
        <v>13</v>
      </c>
    </row>
    <row r="3" spans="2:9">
      <c r="B3" t="s">
        <v>14</v>
      </c>
      <c r="C3" t="s">
        <v>15</v>
      </c>
      <c r="D3" t="s">
        <v>16</v>
      </c>
      <c r="E3" s="126" t="s">
        <v>17</v>
      </c>
      <c r="F3" s="125" t="s">
        <v>18</v>
      </c>
      <c r="G3" t="s">
        <v>19</v>
      </c>
      <c r="H3" t="s">
        <v>20</v>
      </c>
      <c r="I3" t="s">
        <v>21</v>
      </c>
    </row>
    <row r="4" spans="2:9">
      <c r="D4" t="s">
        <v>22</v>
      </c>
      <c r="E4" s="126"/>
      <c r="F4" s="125"/>
      <c r="G4" s="7" t="s">
        <v>23</v>
      </c>
      <c r="H4" t="s">
        <v>20</v>
      </c>
      <c r="I4" t="s">
        <v>24</v>
      </c>
    </row>
    <row r="5" spans="2:9" hidden="1">
      <c r="D5" s="125" t="s">
        <v>25</v>
      </c>
      <c r="E5" s="126"/>
      <c r="F5" s="125" t="s">
        <v>25</v>
      </c>
      <c r="G5" t="s">
        <v>19</v>
      </c>
      <c r="H5" s="2" t="s">
        <v>26</v>
      </c>
      <c r="I5" t="s">
        <v>21</v>
      </c>
    </row>
    <row r="6" spans="2:9" hidden="1">
      <c r="D6" s="125"/>
      <c r="E6" s="126"/>
      <c r="F6" s="125"/>
      <c r="G6" s="7" t="s">
        <v>23</v>
      </c>
      <c r="H6" s="2" t="s">
        <v>26</v>
      </c>
      <c r="I6" t="s">
        <v>24</v>
      </c>
    </row>
    <row r="7" spans="2:9">
      <c r="C7" t="s">
        <v>27</v>
      </c>
      <c r="D7" t="s">
        <v>16</v>
      </c>
      <c r="E7" s="126"/>
      <c r="F7" s="125" t="s">
        <v>18</v>
      </c>
      <c r="G7" t="s">
        <v>19</v>
      </c>
      <c r="H7" t="s">
        <v>20</v>
      </c>
      <c r="I7" t="s">
        <v>28</v>
      </c>
    </row>
    <row r="8" spans="2:9">
      <c r="D8" t="s">
        <v>22</v>
      </c>
      <c r="E8" s="126"/>
      <c r="F8" s="125"/>
      <c r="G8" s="7" t="s">
        <v>23</v>
      </c>
      <c r="H8" t="s">
        <v>20</v>
      </c>
      <c r="I8" t="s">
        <v>28</v>
      </c>
    </row>
    <row r="9" spans="2:9" hidden="1">
      <c r="D9" s="125" t="s">
        <v>25</v>
      </c>
      <c r="E9" s="126"/>
      <c r="F9" s="125" t="s">
        <v>25</v>
      </c>
      <c r="G9" t="s">
        <v>19</v>
      </c>
      <c r="H9" s="2" t="s">
        <v>26</v>
      </c>
      <c r="I9" t="s">
        <v>28</v>
      </c>
    </row>
    <row r="10" spans="2:9" hidden="1">
      <c r="D10" s="125"/>
      <c r="E10" s="126"/>
      <c r="F10" s="125"/>
      <c r="G10" s="7" t="s">
        <v>23</v>
      </c>
      <c r="H10" s="2" t="s">
        <v>26</v>
      </c>
      <c r="I10" t="s">
        <v>28</v>
      </c>
    </row>
    <row r="11" spans="2:9">
      <c r="E11" s="70"/>
    </row>
    <row r="12" spans="2:9">
      <c r="B12" t="s">
        <v>29</v>
      </c>
      <c r="C12" t="s">
        <v>15</v>
      </c>
      <c r="D12" t="s">
        <v>16</v>
      </c>
      <c r="E12" s="126" t="s">
        <v>30</v>
      </c>
      <c r="F12" s="125" t="s">
        <v>18</v>
      </c>
      <c r="G12" t="s">
        <v>19</v>
      </c>
      <c r="H12" t="s">
        <v>20</v>
      </c>
      <c r="I12" t="s">
        <v>21</v>
      </c>
    </row>
    <row r="13" spans="2:9">
      <c r="D13" t="s">
        <v>22</v>
      </c>
      <c r="E13" s="126"/>
      <c r="F13" s="125"/>
      <c r="G13" s="7" t="s">
        <v>23</v>
      </c>
      <c r="H13" t="s">
        <v>20</v>
      </c>
      <c r="I13" t="s">
        <v>24</v>
      </c>
    </row>
    <row r="14" spans="2:9">
      <c r="D14" s="125" t="s">
        <v>25</v>
      </c>
      <c r="E14" s="126"/>
      <c r="F14" s="125" t="s">
        <v>25</v>
      </c>
      <c r="G14" t="s">
        <v>19</v>
      </c>
      <c r="H14" s="2" t="s">
        <v>26</v>
      </c>
      <c r="I14" t="s">
        <v>21</v>
      </c>
    </row>
    <row r="15" spans="2:9">
      <c r="D15" s="125"/>
      <c r="E15" s="126"/>
      <c r="F15" s="125"/>
      <c r="G15" s="7" t="s">
        <v>23</v>
      </c>
      <c r="H15" s="2" t="s">
        <v>26</v>
      </c>
      <c r="I15" t="s">
        <v>24</v>
      </c>
    </row>
    <row r="16" spans="2:9">
      <c r="D16" t="s">
        <v>16</v>
      </c>
      <c r="E16" s="126"/>
      <c r="F16" s="125" t="s">
        <v>18</v>
      </c>
      <c r="G16" t="s">
        <v>19</v>
      </c>
      <c r="H16" t="s">
        <v>20</v>
      </c>
      <c r="I16" t="s">
        <v>28</v>
      </c>
    </row>
    <row r="17" spans="3:9">
      <c r="C17" t="s">
        <v>27</v>
      </c>
      <c r="D17" t="s">
        <v>22</v>
      </c>
      <c r="E17" s="126"/>
      <c r="F17" s="125"/>
      <c r="G17" s="7" t="s">
        <v>23</v>
      </c>
      <c r="H17" t="s">
        <v>20</v>
      </c>
      <c r="I17" t="s">
        <v>28</v>
      </c>
    </row>
    <row r="18" spans="3:9">
      <c r="D18" s="125" t="s">
        <v>25</v>
      </c>
      <c r="E18" s="126"/>
      <c r="F18" s="125" t="s">
        <v>25</v>
      </c>
      <c r="G18" t="s">
        <v>19</v>
      </c>
      <c r="H18" s="2" t="s">
        <v>26</v>
      </c>
      <c r="I18" t="s">
        <v>28</v>
      </c>
    </row>
    <row r="19" spans="3:9">
      <c r="D19" s="125"/>
      <c r="E19" s="126"/>
      <c r="F19" s="125"/>
      <c r="G19" s="7" t="s">
        <v>23</v>
      </c>
      <c r="H19" s="2" t="s">
        <v>26</v>
      </c>
      <c r="I19" t="s">
        <v>28</v>
      </c>
    </row>
  </sheetData>
  <autoFilter ref="B2:I10" xr:uid="{70C6DC85-AD09-490B-ADD9-040201954505}">
    <filterColumn colId="6">
      <filters>
        <filter val="Cálculo Prima Refugio"/>
      </filters>
    </filterColumn>
  </autoFilter>
  <mergeCells count="14">
    <mergeCell ref="D18:D19"/>
    <mergeCell ref="F18:F19"/>
    <mergeCell ref="E3:E10"/>
    <mergeCell ref="E12:E19"/>
    <mergeCell ref="D9:D10"/>
    <mergeCell ref="F9:F10"/>
    <mergeCell ref="F12:F13"/>
    <mergeCell ref="D14:D15"/>
    <mergeCell ref="F14:F15"/>
    <mergeCell ref="F16:F17"/>
    <mergeCell ref="F3:F4"/>
    <mergeCell ref="D5:D6"/>
    <mergeCell ref="F5:F6"/>
    <mergeCell ref="F7:F8"/>
  </mergeCells>
  <pageMargins left="0.7" right="0.7" top="0.75" bottom="0.75" header="0.3" footer="0.3"/>
  <pageSetup paperSize="9" orientation="portrait" horizontalDpi="90" verticalDpi="9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19"/>
  <sheetViews>
    <sheetView workbookViewId="0">
      <pane ySplit="2" topLeftCell="C3" activePane="bottomLeft" state="frozen"/>
      <selection pane="bottomLeft" activeCell="C16" sqref="C16"/>
    </sheetView>
  </sheetViews>
  <sheetFormatPr defaultColWidth="8.7109375" defaultRowHeight="15"/>
  <cols>
    <col min="1" max="1" width="2.42578125" style="8" customWidth="1"/>
    <col min="2" max="2" width="57.7109375" style="8" bestFit="1" customWidth="1"/>
    <col min="3" max="3" width="13.5703125" style="8" bestFit="1" customWidth="1"/>
    <col min="4" max="4" width="10" style="8" bestFit="1" customWidth="1"/>
    <col min="5" max="5" width="8.7109375" style="8"/>
    <col min="6" max="6" width="51.140625" style="8" customWidth="1"/>
    <col min="7" max="16384" width="8.7109375" style="8"/>
  </cols>
  <sheetData>
    <row r="1" spans="2:10" ht="15.75" thickBot="1"/>
    <row r="2" spans="2:10" ht="78.599999999999994" customHeight="1" thickBot="1">
      <c r="B2" s="128" t="s">
        <v>31</v>
      </c>
      <c r="C2" s="129"/>
    </row>
    <row r="4" spans="2:10">
      <c r="B4" s="15" t="s">
        <v>32</v>
      </c>
    </row>
    <row r="5" spans="2:10">
      <c r="B5" s="20" t="s">
        <v>33</v>
      </c>
      <c r="C5" s="22">
        <v>0.8</v>
      </c>
    </row>
    <row r="6" spans="2:10">
      <c r="B6" s="20" t="s">
        <v>34</v>
      </c>
      <c r="C6" s="21">
        <f>1000000/0.8</f>
        <v>1250000</v>
      </c>
      <c r="D6" s="17"/>
      <c r="F6" s="15" t="s">
        <v>35</v>
      </c>
    </row>
    <row r="7" spans="2:10">
      <c r="B7" s="20" t="s">
        <v>2</v>
      </c>
      <c r="C7" s="20">
        <v>6</v>
      </c>
      <c r="J7" s="19" t="s">
        <v>36</v>
      </c>
    </row>
    <row r="8" spans="2:10" ht="63.6" customHeight="1">
      <c r="F8" s="127" t="s">
        <v>37</v>
      </c>
      <c r="G8" s="127"/>
      <c r="H8" s="127"/>
    </row>
    <row r="9" spans="2:10" ht="44.1" customHeight="1">
      <c r="B9" s="15" t="s">
        <v>38</v>
      </c>
      <c r="F9" s="127" t="s">
        <v>39</v>
      </c>
      <c r="G9" s="127"/>
      <c r="H9" s="127"/>
    </row>
    <row r="10" spans="2:10">
      <c r="B10" s="18" t="s">
        <v>40</v>
      </c>
      <c r="C10" s="17">
        <f>C6*C5</f>
        <v>1000000</v>
      </c>
    </row>
    <row r="11" spans="2:10">
      <c r="B11" s="18" t="s">
        <v>41</v>
      </c>
      <c r="C11" s="17">
        <f>C6-C10</f>
        <v>250000</v>
      </c>
    </row>
    <row r="12" spans="2:10">
      <c r="B12" s="16"/>
    </row>
    <row r="13" spans="2:10">
      <c r="B13" s="15" t="s">
        <v>42</v>
      </c>
    </row>
    <row r="14" spans="2:10">
      <c r="B14" s="12" t="s">
        <v>43</v>
      </c>
      <c r="C14" s="14">
        <f>C6</f>
        <v>1250000</v>
      </c>
    </row>
    <row r="15" spans="2:10">
      <c r="B15" s="12" t="s">
        <v>44</v>
      </c>
      <c r="C15" s="13">
        <f>MIN(C7,10)</f>
        <v>6</v>
      </c>
    </row>
    <row r="16" spans="2:10">
      <c r="B16" s="12" t="s">
        <v>45</v>
      </c>
      <c r="C16" s="11">
        <f>200/(1500*5)</f>
        <v>2.6666666666666668E-2</v>
      </c>
    </row>
    <row r="19" spans="2:3">
      <c r="B19" s="10" t="s">
        <v>46</v>
      </c>
      <c r="C19" s="9">
        <f>C14*C5*C15*C16</f>
        <v>160000</v>
      </c>
    </row>
  </sheetData>
  <sheetProtection algorithmName="SHA-512" hashValue="XGn/nf27/mx63DavGxSxIYJsCU9GhDIVEvoW/5fQ+E5juV/gPuTVzrNSvW2/8ro8I7QQx4mBiCfpcC16AZDaQQ==" saltValue="gAwuGRdlmo9mgm4U5K5bbg==" spinCount="100000" sheet="1" formatCells="0" insertColumns="0" insertRows="0" insertHyperlinks="0" deleteColumns="0" deleteRows="0" sort="0" autoFilter="0" pivotTables="0"/>
  <mergeCells count="3">
    <mergeCell ref="F8:H8"/>
    <mergeCell ref="F9:H9"/>
    <mergeCell ref="B2:C2"/>
  </mergeCells>
  <hyperlinks>
    <hyperlink ref="J7" r:id="rId1" xr:uid="{00000000-0004-0000-0200-000000000000}"/>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W91"/>
  <sheetViews>
    <sheetView zoomScaleNormal="100" workbookViewId="0">
      <selection activeCell="C8" sqref="C8"/>
    </sheetView>
  </sheetViews>
  <sheetFormatPr defaultColWidth="11.42578125" defaultRowHeight="15"/>
  <cols>
    <col min="1" max="1" width="4.5703125" style="8" customWidth="1"/>
    <col min="2" max="2" width="59.42578125" style="8" customWidth="1"/>
    <col min="3" max="3" width="16" style="8" bestFit="1" customWidth="1"/>
    <col min="4" max="4" width="14.140625" style="8" customWidth="1"/>
    <col min="5" max="5" width="31" style="8" customWidth="1"/>
    <col min="6" max="6" width="18.140625" style="8" bestFit="1" customWidth="1"/>
    <col min="7" max="7" width="15.5703125" style="8" customWidth="1"/>
    <col min="8" max="8" width="12" style="8" customWidth="1"/>
    <col min="9" max="9" width="15" style="8" customWidth="1"/>
    <col min="10" max="10" width="9.140625" style="8" customWidth="1"/>
    <col min="11" max="11" width="13.5703125" style="8" customWidth="1"/>
    <col min="12" max="12" width="15.5703125" style="8" customWidth="1"/>
    <col min="13" max="14" width="9.140625" style="8" customWidth="1"/>
    <col min="15" max="16384" width="11.42578125" style="8"/>
  </cols>
  <sheetData>
    <row r="1" spans="2:23" ht="15.75" thickBot="1"/>
    <row r="2" spans="2:23" ht="72.599999999999994" customHeight="1" thickBot="1">
      <c r="B2" s="128" t="s">
        <v>31</v>
      </c>
      <c r="C2" s="129"/>
      <c r="F2" s="39" t="s">
        <v>47</v>
      </c>
      <c r="G2" s="69" t="s">
        <v>48</v>
      </c>
    </row>
    <row r="3" spans="2:23" ht="15.75" thickBot="1">
      <c r="B3" s="68"/>
    </row>
    <row r="4" spans="2:23">
      <c r="B4" s="67" t="s">
        <v>49</v>
      </c>
      <c r="C4" s="66"/>
      <c r="E4" s="44"/>
    </row>
    <row r="5" spans="2:23" ht="74.099999999999994" customHeight="1" thickBot="1">
      <c r="B5" s="65" t="s">
        <v>46</v>
      </c>
      <c r="C5" s="64" t="str">
        <f>IFERROR(SUM(L34:L63), "No se puede financiar")</f>
        <v>No se puede financiar</v>
      </c>
      <c r="E5" s="63"/>
      <c r="O5" s="130" t="s">
        <v>50</v>
      </c>
      <c r="P5" s="130"/>
      <c r="Q5" s="130"/>
      <c r="R5" s="130"/>
      <c r="S5" s="130"/>
      <c r="T5" s="130"/>
    </row>
    <row r="6" spans="2:23" ht="15.75" thickBot="1">
      <c r="E6" s="44"/>
      <c r="F6" s="15" t="s">
        <v>51</v>
      </c>
      <c r="Q6" s="23" t="s">
        <v>52</v>
      </c>
    </row>
    <row r="7" spans="2:23">
      <c r="B7" s="62" t="s">
        <v>32</v>
      </c>
      <c r="C7" s="61"/>
      <c r="F7" s="60" t="s">
        <v>53</v>
      </c>
      <c r="G7" s="59" t="s">
        <v>54</v>
      </c>
      <c r="Q7" s="23" t="s">
        <v>55</v>
      </c>
    </row>
    <row r="8" spans="2:23">
      <c r="B8" s="50" t="s">
        <v>33</v>
      </c>
      <c r="C8" s="55">
        <v>0.8</v>
      </c>
      <c r="D8" s="23" t="s">
        <v>56</v>
      </c>
      <c r="F8" s="41" t="s">
        <v>57</v>
      </c>
      <c r="G8" s="58">
        <v>4.0000000000000001E-3</v>
      </c>
      <c r="H8" s="57"/>
      <c r="Q8" s="23"/>
    </row>
    <row r="9" spans="2:23" ht="35.450000000000003" customHeight="1" thickTop="1" thickBot="1">
      <c r="B9" s="56" t="s">
        <v>58</v>
      </c>
      <c r="C9" s="55">
        <v>0</v>
      </c>
      <c r="D9" s="23" t="s">
        <v>59</v>
      </c>
      <c r="F9" s="41" t="s">
        <v>60</v>
      </c>
      <c r="G9" s="52">
        <v>4.0000000000000001E-3</v>
      </c>
      <c r="H9" s="37"/>
      <c r="Q9" s="108" t="s">
        <v>61</v>
      </c>
      <c r="R9" s="108" t="s">
        <v>62</v>
      </c>
      <c r="S9" s="108" t="s">
        <v>63</v>
      </c>
      <c r="T9" s="108" t="s">
        <v>64</v>
      </c>
      <c r="U9" s="108" t="s">
        <v>65</v>
      </c>
      <c r="V9" s="108" t="s">
        <v>66</v>
      </c>
      <c r="W9" s="108" t="s">
        <v>67</v>
      </c>
    </row>
    <row r="10" spans="2:23">
      <c r="B10" s="50" t="s">
        <v>68</v>
      </c>
      <c r="C10" s="54"/>
      <c r="E10" s="53"/>
      <c r="F10" s="41" t="s">
        <v>69</v>
      </c>
      <c r="G10" s="52">
        <v>4.0000000000000001E-3</v>
      </c>
      <c r="H10" s="44"/>
      <c r="Q10" s="109" t="s">
        <v>57</v>
      </c>
      <c r="R10" s="110">
        <v>1.27E-4</v>
      </c>
      <c r="S10" s="110">
        <v>0</v>
      </c>
      <c r="T10" s="110">
        <v>1.4899999999999999E-4</v>
      </c>
      <c r="U10" s="109">
        <v>0</v>
      </c>
      <c r="V10" s="109">
        <v>0</v>
      </c>
      <c r="W10" s="109">
        <v>0.5</v>
      </c>
    </row>
    <row r="11" spans="2:23">
      <c r="B11" s="50" t="s">
        <v>70</v>
      </c>
      <c r="C11" s="51"/>
      <c r="F11" s="41" t="s">
        <v>71</v>
      </c>
      <c r="G11" s="52">
        <v>4.0000000000000001E-3</v>
      </c>
      <c r="H11" s="44"/>
      <c r="Q11" s="109" t="s">
        <v>60</v>
      </c>
      <c r="R11" s="110">
        <v>1.7699999999999999E-4</v>
      </c>
      <c r="S11" s="110">
        <v>1.4899999999999999E-4</v>
      </c>
      <c r="T11" s="110">
        <v>2.0699999999999999E-4</v>
      </c>
      <c r="U11" s="109">
        <v>0.5</v>
      </c>
      <c r="V11" s="109">
        <v>0.5</v>
      </c>
      <c r="W11" s="109">
        <v>0.5</v>
      </c>
    </row>
    <row r="12" spans="2:23">
      <c r="B12" s="50" t="s">
        <v>72</v>
      </c>
      <c r="C12" s="51"/>
      <c r="F12" s="41" t="s">
        <v>73</v>
      </c>
      <c r="G12" s="43">
        <v>5.4999999999999997E-3</v>
      </c>
      <c r="H12" s="44"/>
      <c r="Q12" s="109" t="s">
        <v>69</v>
      </c>
      <c r="R12" s="110">
        <v>2.4600000000000002E-4</v>
      </c>
      <c r="S12" s="110">
        <v>2.0699999999999999E-4</v>
      </c>
      <c r="T12" s="110">
        <v>2.9100000000000003E-4</v>
      </c>
      <c r="U12" s="109">
        <v>1</v>
      </c>
      <c r="V12" s="109">
        <v>0.5</v>
      </c>
      <c r="W12" s="109">
        <v>1</v>
      </c>
    </row>
    <row r="13" spans="2:23">
      <c r="B13" s="50" t="s">
        <v>74</v>
      </c>
      <c r="C13" s="49"/>
      <c r="F13" s="41" t="s">
        <v>43</v>
      </c>
      <c r="G13" s="43">
        <v>5.4999999999999997E-3</v>
      </c>
      <c r="H13" s="44"/>
      <c r="Q13" s="109" t="s">
        <v>71</v>
      </c>
      <c r="R13" s="110">
        <v>3.4299999999999999E-4</v>
      </c>
      <c r="S13" s="110">
        <v>2.9100000000000003E-4</v>
      </c>
      <c r="T13" s="110">
        <v>4.0499999999999998E-4</v>
      </c>
      <c r="U13" s="109">
        <v>1</v>
      </c>
      <c r="V13" s="109">
        <v>1</v>
      </c>
      <c r="W13" s="109">
        <v>1.3</v>
      </c>
    </row>
    <row r="14" spans="2:23">
      <c r="B14" s="48" t="s">
        <v>75</v>
      </c>
      <c r="C14" s="47"/>
      <c r="D14" s="47"/>
      <c r="F14" s="41" t="s">
        <v>76</v>
      </c>
      <c r="G14" s="43">
        <v>5.4999999999999997E-3</v>
      </c>
      <c r="Q14" s="109" t="s">
        <v>73</v>
      </c>
      <c r="R14" s="110">
        <v>4.7800000000000002E-4</v>
      </c>
      <c r="S14" s="110">
        <v>4.0499999999999998E-4</v>
      </c>
      <c r="T14" s="110">
        <v>5.6400000000000005E-4</v>
      </c>
      <c r="U14" s="109">
        <v>1.5</v>
      </c>
      <c r="V14" s="109">
        <v>1.3</v>
      </c>
      <c r="W14" s="109">
        <v>1.7</v>
      </c>
    </row>
    <row r="15" spans="2:23" ht="14.25" customHeight="1">
      <c r="F15" s="41" t="s">
        <v>77</v>
      </c>
      <c r="G15" s="43">
        <v>8.0000000000000002E-3</v>
      </c>
      <c r="Q15" s="109" t="s">
        <v>43</v>
      </c>
      <c r="R15" s="110">
        <v>6.6600000000000003E-4</v>
      </c>
      <c r="S15" s="110">
        <v>5.6400000000000005E-4</v>
      </c>
      <c r="T15" s="110">
        <v>7.8600000000000002E-4</v>
      </c>
      <c r="U15" s="109">
        <v>1.9</v>
      </c>
      <c r="V15" s="109">
        <v>1.7</v>
      </c>
      <c r="W15" s="109">
        <v>2</v>
      </c>
    </row>
    <row r="16" spans="2:23" ht="14.25" customHeight="1" thickTop="1" thickBot="1">
      <c r="B16" s="36" t="s">
        <v>78</v>
      </c>
      <c r="F16" s="46" t="s">
        <v>79</v>
      </c>
      <c r="G16" s="43">
        <v>8.0000000000000002E-3</v>
      </c>
      <c r="Q16" s="109" t="s">
        <v>76</v>
      </c>
      <c r="R16" s="110">
        <v>9.2699999999999998E-4</v>
      </c>
      <c r="S16" s="110">
        <v>7.8600000000000002E-4</v>
      </c>
      <c r="T16" s="110">
        <v>1.0939999999999999E-3</v>
      </c>
      <c r="U16" s="109">
        <v>2.2000000000000002</v>
      </c>
      <c r="V16" s="109">
        <v>2</v>
      </c>
      <c r="W16" s="109">
        <v>2.4</v>
      </c>
    </row>
    <row r="17" spans="2:23" ht="14.25" customHeight="1">
      <c r="B17" s="8" t="s">
        <v>80</v>
      </c>
      <c r="C17" s="8">
        <v>3</v>
      </c>
      <c r="F17" s="41" t="s">
        <v>81</v>
      </c>
      <c r="G17" s="43">
        <v>8.0000000000000002E-3</v>
      </c>
      <c r="Q17" s="109" t="s">
        <v>77</v>
      </c>
      <c r="R17" s="110">
        <v>1.291E-3</v>
      </c>
      <c r="S17" s="110">
        <v>1.0939999999999999E-3</v>
      </c>
      <c r="T17" s="110">
        <v>1.523E-3</v>
      </c>
      <c r="U17" s="109">
        <v>2.6</v>
      </c>
      <c r="V17" s="109">
        <v>2.4</v>
      </c>
      <c r="W17" s="109">
        <v>2.8</v>
      </c>
    </row>
    <row r="18" spans="2:23" ht="14.25" customHeight="1">
      <c r="F18" s="41" t="s">
        <v>82</v>
      </c>
      <c r="G18" s="43">
        <v>0.02</v>
      </c>
      <c r="Q18" s="109" t="s">
        <v>79</v>
      </c>
      <c r="R18" s="110">
        <v>1.797E-3</v>
      </c>
      <c r="S18" s="110">
        <v>1.523E-3</v>
      </c>
      <c r="T18" s="110">
        <v>2.1210000000000001E-3</v>
      </c>
      <c r="U18" s="109">
        <v>2.9</v>
      </c>
      <c r="V18" s="109">
        <v>2.8</v>
      </c>
      <c r="W18" s="109">
        <v>3.1</v>
      </c>
    </row>
    <row r="19" spans="2:23" ht="14.25" customHeight="1">
      <c r="B19" s="36" t="s">
        <v>83</v>
      </c>
      <c r="F19" s="41" t="s">
        <v>84</v>
      </c>
      <c r="G19" s="43">
        <v>0.02</v>
      </c>
      <c r="Q19" s="109" t="s">
        <v>81</v>
      </c>
      <c r="R19" s="110">
        <v>2.5019999999999999E-3</v>
      </c>
      <c r="S19" s="110">
        <v>2.1210000000000001E-3</v>
      </c>
      <c r="T19" s="110">
        <v>2.6870000000000002E-3</v>
      </c>
      <c r="U19" s="109">
        <v>3.3</v>
      </c>
      <c r="V19" s="109">
        <v>3.1</v>
      </c>
      <c r="W19" s="109">
        <v>3.4</v>
      </c>
    </row>
    <row r="20" spans="2:23">
      <c r="B20" s="8" t="s">
        <v>85</v>
      </c>
      <c r="C20" s="45" t="e">
        <f>VLOOKUP(C13,F8:G24,2,FALSE)</f>
        <v>#N/A</v>
      </c>
      <c r="D20" s="37" t="e">
        <f>C20-C9</f>
        <v>#N/A</v>
      </c>
      <c r="F20" s="41" t="s">
        <v>86</v>
      </c>
      <c r="G20" s="43">
        <v>3.7999999999999999E-2</v>
      </c>
      <c r="Q20" s="109" t="s">
        <v>82</v>
      </c>
      <c r="R20" s="110">
        <v>2.8860000000000001E-3</v>
      </c>
      <c r="S20" s="110">
        <v>2.6870000000000002E-3</v>
      </c>
      <c r="T20" s="110">
        <v>4.1110000000000001E-3</v>
      </c>
      <c r="U20" s="109">
        <v>3.5</v>
      </c>
      <c r="V20" s="109">
        <v>3.4</v>
      </c>
      <c r="W20" s="109">
        <v>3.9</v>
      </c>
    </row>
    <row r="21" spans="2:23" ht="16.5" thickTop="1" thickBot="1">
      <c r="B21" s="8" t="s">
        <v>87</v>
      </c>
      <c r="C21" s="37" t="e">
        <f>C20/C17</f>
        <v>#N/A</v>
      </c>
      <c r="F21" s="41" t="s">
        <v>88</v>
      </c>
      <c r="G21" s="43">
        <v>3.7999999999999999E-2</v>
      </c>
      <c r="Q21" s="109" t="s">
        <v>84</v>
      </c>
      <c r="R21" s="110">
        <v>5.8560000000000001E-3</v>
      </c>
      <c r="S21" s="110">
        <v>4.1110000000000001E-3</v>
      </c>
      <c r="T21" s="110">
        <v>8.3300000000000006E-3</v>
      </c>
      <c r="U21" s="109">
        <v>4.3</v>
      </c>
      <c r="V21" s="109">
        <v>3.9</v>
      </c>
      <c r="W21" s="109">
        <v>4.7</v>
      </c>
    </row>
    <row r="22" spans="2:23" ht="16.5" thickTop="1" thickBot="1">
      <c r="B22" s="8" t="s">
        <v>89</v>
      </c>
      <c r="C22" s="37">
        <f>C14+1%</f>
        <v>0.01</v>
      </c>
      <c r="F22" s="41" t="s">
        <v>44</v>
      </c>
      <c r="G22" s="43">
        <v>6.3E-2</v>
      </c>
      <c r="Q22" s="109" t="s">
        <v>86</v>
      </c>
      <c r="R22" s="110">
        <v>1.1849E-2</v>
      </c>
      <c r="S22" s="110">
        <v>8.3300000000000006E-3</v>
      </c>
      <c r="T22" s="110">
        <v>1.6802000000000001E-2</v>
      </c>
      <c r="U22" s="109">
        <v>5.2</v>
      </c>
      <c r="V22" s="109">
        <v>4.7</v>
      </c>
      <c r="W22" s="109">
        <v>5.6</v>
      </c>
    </row>
    <row r="23" spans="2:23" ht="16.5" thickTop="1" thickBot="1">
      <c r="B23" s="23" t="s">
        <v>90</v>
      </c>
      <c r="C23" s="44">
        <f>C9/C17</f>
        <v>0</v>
      </c>
      <c r="F23" s="41" t="s">
        <v>91</v>
      </c>
      <c r="G23" s="43">
        <v>6.3E-2</v>
      </c>
      <c r="Q23" s="109" t="s">
        <v>88</v>
      </c>
      <c r="R23" s="110">
        <v>2.3824999999999999E-2</v>
      </c>
      <c r="S23" s="110">
        <v>1.6802000000000001E-2</v>
      </c>
      <c r="T23" s="110">
        <v>3.3578999999999998E-2</v>
      </c>
      <c r="U23" s="109">
        <v>6</v>
      </c>
      <c r="V23" s="109">
        <v>5.6</v>
      </c>
      <c r="W23" s="109">
        <v>6.4</v>
      </c>
    </row>
    <row r="24" spans="2:23" ht="61.5" thickTop="1" thickBot="1">
      <c r="B24" s="23" t="s">
        <v>92</v>
      </c>
      <c r="C24" s="42">
        <f>C10*C8</f>
        <v>0</v>
      </c>
      <c r="F24" s="41" t="s">
        <v>93</v>
      </c>
      <c r="G24" s="40" t="s">
        <v>94</v>
      </c>
      <c r="M24" s="37"/>
      <c r="Q24" s="109" t="s">
        <v>44</v>
      </c>
      <c r="R24" s="110">
        <v>4.7327000000000001E-2</v>
      </c>
      <c r="S24" s="110">
        <v>3.3578999999999998E-2</v>
      </c>
      <c r="T24" s="110">
        <v>6.5925999999999998E-2</v>
      </c>
      <c r="U24" s="109">
        <v>6.8</v>
      </c>
      <c r="V24" s="109">
        <v>6.4</v>
      </c>
      <c r="W24" s="109">
        <v>7.2</v>
      </c>
    </row>
    <row r="25" spans="2:23" ht="16.5" thickTop="1" thickBot="1">
      <c r="G25" s="38"/>
      <c r="M25" s="37"/>
      <c r="Q25" s="109" t="s">
        <v>91</v>
      </c>
      <c r="R25" s="110">
        <v>9.1832999999999998E-2</v>
      </c>
      <c r="S25" s="110">
        <v>6.5925999999999998E-2</v>
      </c>
      <c r="T25" s="110">
        <v>0.12520100000000001</v>
      </c>
      <c r="U25" s="109">
        <v>7.6</v>
      </c>
      <c r="V25" s="109">
        <v>7.2</v>
      </c>
      <c r="W25" s="109">
        <v>8</v>
      </c>
    </row>
    <row r="26" spans="2:23" ht="16.5" thickTop="1" thickBot="1">
      <c r="G26" s="38"/>
      <c r="M26" s="37"/>
      <c r="Q26" s="109" t="s">
        <v>95</v>
      </c>
      <c r="R26" s="110">
        <v>0.17069200000000001</v>
      </c>
      <c r="S26" s="110">
        <v>0.12520100000000001</v>
      </c>
      <c r="T26" s="110">
        <v>0.224494</v>
      </c>
      <c r="U26" s="109">
        <v>8.4</v>
      </c>
      <c r="V26" s="109">
        <v>8</v>
      </c>
      <c r="W26" s="109">
        <v>8.8000000000000007</v>
      </c>
    </row>
    <row r="27" spans="2:23" ht="16.5" thickTop="1" thickBot="1">
      <c r="G27" s="38"/>
      <c r="K27" s="39"/>
      <c r="M27" s="37"/>
      <c r="Q27" s="109" t="s">
        <v>96</v>
      </c>
      <c r="R27" s="110">
        <v>0.29525299999999999</v>
      </c>
      <c r="S27" s="110">
        <v>0.224494</v>
      </c>
      <c r="T27" s="110">
        <v>0.36863899999999999</v>
      </c>
      <c r="U27" s="109">
        <v>9.1999999999999993</v>
      </c>
      <c r="V27" s="109">
        <v>8.8000000000000007</v>
      </c>
      <c r="W27" s="109">
        <v>9.5</v>
      </c>
    </row>
    <row r="28" spans="2:23" ht="16.5" thickTop="1" thickBot="1">
      <c r="C28" s="15" t="s">
        <v>97</v>
      </c>
      <c r="G28" s="15" t="s">
        <v>98</v>
      </c>
      <c r="M28" s="37"/>
      <c r="Q28" s="109" t="s">
        <v>99</v>
      </c>
      <c r="R28" s="110">
        <v>0.46026400000000001</v>
      </c>
      <c r="S28" s="110">
        <v>0.36863899999999999</v>
      </c>
      <c r="T28" s="110">
        <v>0.99999899999999997</v>
      </c>
      <c r="U28" s="109">
        <v>9.5</v>
      </c>
      <c r="V28" s="109">
        <v>9.5</v>
      </c>
      <c r="W28" s="109">
        <v>9.5</v>
      </c>
    </row>
    <row r="29" spans="2:23" ht="16.5" thickTop="1" thickBot="1">
      <c r="C29" s="8" t="s">
        <v>100</v>
      </c>
      <c r="E29" s="123" t="e">
        <f>PMT(C21,(C11-C12),C24)</f>
        <v>#N/A</v>
      </c>
      <c r="G29" s="8" t="s">
        <v>100</v>
      </c>
      <c r="I29" s="38" t="e">
        <f>PMT(C23,(C11-C12),C24)</f>
        <v>#NUM!</v>
      </c>
      <c r="M29" s="37"/>
      <c r="Q29" s="111" t="s">
        <v>101</v>
      </c>
      <c r="R29" s="112">
        <v>1</v>
      </c>
      <c r="S29" s="113">
        <v>0.99999899999999997</v>
      </c>
      <c r="T29" s="112">
        <v>1</v>
      </c>
      <c r="U29" s="111"/>
      <c r="V29" s="111"/>
      <c r="W29" s="111"/>
    </row>
    <row r="30" spans="2:23" ht="15.75" thickTop="1"/>
    <row r="31" spans="2:23">
      <c r="C31" s="28">
        <f>SUM(C34:C63)</f>
        <v>0</v>
      </c>
      <c r="D31" s="28" t="e">
        <f>SUM(D34:D63)</f>
        <v>#N/A</v>
      </c>
      <c r="G31" s="28">
        <f>SUM(G34:G63)</f>
        <v>0</v>
      </c>
      <c r="H31" s="28">
        <f>SUM(H34:H63)</f>
        <v>0</v>
      </c>
    </row>
    <row r="32" spans="2:23">
      <c r="C32" s="36" t="s">
        <v>102</v>
      </c>
      <c r="D32" s="36"/>
      <c r="E32" s="36"/>
      <c r="F32" s="36"/>
      <c r="G32" s="36" t="s">
        <v>102</v>
      </c>
      <c r="H32" s="36"/>
      <c r="I32" s="36"/>
      <c r="J32" s="36"/>
      <c r="K32" s="36"/>
      <c r="L32" s="36"/>
      <c r="M32" s="36"/>
    </row>
    <row r="33" spans="2:13" s="33" customFormat="1" ht="45">
      <c r="C33" s="34" t="s">
        <v>103</v>
      </c>
      <c r="D33" s="35" t="s">
        <v>104</v>
      </c>
      <c r="E33" s="34" t="s">
        <v>105</v>
      </c>
      <c r="F33" s="34"/>
      <c r="G33" s="34" t="s">
        <v>103</v>
      </c>
      <c r="H33" s="35" t="s">
        <v>106</v>
      </c>
      <c r="I33" s="34" t="s">
        <v>105</v>
      </c>
      <c r="J33" s="34"/>
      <c r="K33" s="35" t="s">
        <v>107</v>
      </c>
      <c r="L33" s="34" t="s">
        <v>108</v>
      </c>
      <c r="M33" s="34"/>
    </row>
    <row r="34" spans="2:13">
      <c r="B34" s="8">
        <v>1</v>
      </c>
      <c r="C34" s="28">
        <f t="shared" ref="C34:C63" si="0">IF(OR(B34&lt;=$C$12,B34&gt;$C$11),0,-$E$29-D34)</f>
        <v>0</v>
      </c>
      <c r="D34" s="30" t="e">
        <f t="array" ref="D34">+($C$24-SUM($C$33:C33))*$C$21</f>
        <v>#N/A</v>
      </c>
      <c r="E34" s="28">
        <f>+($C$24-SUM($C33:C$34))</f>
        <v>0</v>
      </c>
      <c r="F34" s="32"/>
      <c r="G34" s="28">
        <f t="shared" ref="G34:G63" si="1">IF(OR(B34&lt;=$C$12,B34&gt;$C$11),0,-$I$29-H34)</f>
        <v>0</v>
      </c>
      <c r="H34" s="30">
        <f>+($C$24-SUM($G$33:G33))*$C$23</f>
        <v>0</v>
      </c>
      <c r="I34" s="28">
        <f>+($C$24-SUM($G33:G$34))</f>
        <v>0</v>
      </c>
      <c r="J34" s="32"/>
      <c r="K34" s="30" t="e">
        <f t="shared" ref="K34:K63" si="2">IF(D34-H34&gt;0,D34-H34,0)</f>
        <v>#N/A</v>
      </c>
      <c r="L34" s="29" t="e">
        <f t="shared" ref="L34:L63" si="3">+K34/M34</f>
        <v>#N/A</v>
      </c>
      <c r="M34" s="28">
        <f t="shared" ref="M34:M63" si="4">+(1+$C$22/2)^(B34)</f>
        <v>1.0049999999999999</v>
      </c>
    </row>
    <row r="35" spans="2:13">
      <c r="B35" s="8">
        <v>2</v>
      </c>
      <c r="C35" s="28">
        <f t="shared" si="0"/>
        <v>0</v>
      </c>
      <c r="D35" s="30" t="e">
        <f t="array" ref="D35">+($C$24-SUM($C$33:C34))*$C$21</f>
        <v>#N/A</v>
      </c>
      <c r="E35" s="28">
        <f>+($C$24-SUM($C34:C$34))</f>
        <v>0</v>
      </c>
      <c r="G35" s="28">
        <f t="shared" si="1"/>
        <v>0</v>
      </c>
      <c r="H35" s="30">
        <f>+($C$24-SUM($G$33:G34))*$C$23</f>
        <v>0</v>
      </c>
      <c r="I35" s="28">
        <f>+($C$24-SUM($G$34:G34))</f>
        <v>0</v>
      </c>
      <c r="K35" s="30" t="e">
        <f t="shared" si="2"/>
        <v>#N/A</v>
      </c>
      <c r="L35" s="29" t="e">
        <f t="shared" si="3"/>
        <v>#N/A</v>
      </c>
      <c r="M35" s="28">
        <f t="shared" si="4"/>
        <v>1.0100249999999997</v>
      </c>
    </row>
    <row r="36" spans="2:13">
      <c r="B36" s="8">
        <f t="shared" ref="B36:B63" si="5">1+B35</f>
        <v>3</v>
      </c>
      <c r="C36" s="28">
        <f t="shared" si="0"/>
        <v>0</v>
      </c>
      <c r="D36" s="30" t="e">
        <f t="array" ref="D36">+($C$24-SUM($C$33:C35))*$C$21</f>
        <v>#N/A</v>
      </c>
      <c r="E36" s="28">
        <f>+($C$24-SUM($C$34:C35))</f>
        <v>0</v>
      </c>
      <c r="F36" s="28"/>
      <c r="G36" s="28">
        <f t="shared" si="1"/>
        <v>0</v>
      </c>
      <c r="H36" s="30">
        <f>+($C$24-SUM($G$33:G35))*$C$23</f>
        <v>0</v>
      </c>
      <c r="I36" s="28">
        <f>+($C$24-SUM($G$34:G35))</f>
        <v>0</v>
      </c>
      <c r="K36" s="30" t="e">
        <f t="shared" si="2"/>
        <v>#N/A</v>
      </c>
      <c r="L36" s="29" t="e">
        <f t="shared" si="3"/>
        <v>#N/A</v>
      </c>
      <c r="M36" s="28">
        <f t="shared" si="4"/>
        <v>1.0150751249999996</v>
      </c>
    </row>
    <row r="37" spans="2:13">
      <c r="B37" s="8">
        <f t="shared" si="5"/>
        <v>4</v>
      </c>
      <c r="C37" s="28">
        <f t="shared" si="0"/>
        <v>0</v>
      </c>
      <c r="D37" s="30" t="e">
        <f t="array" ref="D37">+($C$24-SUM($C$33:C36))*$C$21</f>
        <v>#N/A</v>
      </c>
      <c r="E37" s="28">
        <f>+($C$24-SUM($C$34:C36))</f>
        <v>0</v>
      </c>
      <c r="F37" s="31"/>
      <c r="G37" s="28">
        <f t="shared" si="1"/>
        <v>0</v>
      </c>
      <c r="H37" s="30">
        <f>+($C$24-SUM($G$33:G36))*$C$23</f>
        <v>0</v>
      </c>
      <c r="I37" s="28">
        <f>+($C$24-SUM($G$34:G36))</f>
        <v>0</v>
      </c>
      <c r="K37" s="30" t="e">
        <f t="shared" si="2"/>
        <v>#N/A</v>
      </c>
      <c r="L37" s="29" t="e">
        <f t="shared" si="3"/>
        <v>#N/A</v>
      </c>
      <c r="M37" s="28">
        <f t="shared" si="4"/>
        <v>1.0201505006249993</v>
      </c>
    </row>
    <row r="38" spans="2:13">
      <c r="B38" s="8">
        <f t="shared" si="5"/>
        <v>5</v>
      </c>
      <c r="C38" s="28">
        <f t="shared" si="0"/>
        <v>0</v>
      </c>
      <c r="D38" s="30" t="e">
        <f t="array" ref="D38">+($C$24-SUM($C$33:C37))*$C$21</f>
        <v>#N/A</v>
      </c>
      <c r="E38" s="28">
        <f>+($C$24-SUM($C$34:C37))</f>
        <v>0</v>
      </c>
      <c r="G38" s="28">
        <f t="shared" si="1"/>
        <v>0</v>
      </c>
      <c r="H38" s="30">
        <f>+($C$24-SUM($G$33:G37))*$C$23</f>
        <v>0</v>
      </c>
      <c r="I38" s="28">
        <f>+($C$24-SUM($G$34:G37))</f>
        <v>0</v>
      </c>
      <c r="K38" s="30" t="e">
        <f t="shared" si="2"/>
        <v>#N/A</v>
      </c>
      <c r="L38" s="29" t="e">
        <f t="shared" si="3"/>
        <v>#N/A</v>
      </c>
      <c r="M38" s="28">
        <f t="shared" si="4"/>
        <v>1.0252512531281242</v>
      </c>
    </row>
    <row r="39" spans="2:13">
      <c r="B39" s="8">
        <f t="shared" si="5"/>
        <v>6</v>
      </c>
      <c r="C39" s="28">
        <f t="shared" si="0"/>
        <v>0</v>
      </c>
      <c r="D39" s="30" t="e">
        <f t="array" ref="D39">+($C$24-SUM($C$33:C38))*$C$21</f>
        <v>#N/A</v>
      </c>
      <c r="E39" s="28">
        <f>+($C$24-SUM($C$34:C38))</f>
        <v>0</v>
      </c>
      <c r="G39" s="28">
        <f t="shared" si="1"/>
        <v>0</v>
      </c>
      <c r="H39" s="30">
        <f>+($C$24-SUM($G$33:G38))*$C$23</f>
        <v>0</v>
      </c>
      <c r="I39" s="28">
        <f>+($C$24-SUM($G$34:G38))</f>
        <v>0</v>
      </c>
      <c r="K39" s="30" t="e">
        <f t="shared" si="2"/>
        <v>#N/A</v>
      </c>
      <c r="L39" s="29" t="e">
        <f t="shared" si="3"/>
        <v>#N/A</v>
      </c>
      <c r="M39" s="28">
        <f t="shared" si="4"/>
        <v>1.0303775093937646</v>
      </c>
    </row>
    <row r="40" spans="2:13">
      <c r="B40" s="8">
        <f t="shared" si="5"/>
        <v>7</v>
      </c>
      <c r="C40" s="28">
        <f t="shared" si="0"/>
        <v>0</v>
      </c>
      <c r="D40" s="30" t="e">
        <f t="array" ref="D40">+($C$24-SUM($C$33:C39))*$C$21</f>
        <v>#N/A</v>
      </c>
      <c r="E40" s="28">
        <f>+($C$24-SUM($C$34:C39))</f>
        <v>0</v>
      </c>
      <c r="G40" s="28">
        <f t="shared" si="1"/>
        <v>0</v>
      </c>
      <c r="H40" s="30">
        <f>+($C$24-SUM($G$33:G39))*$C$23</f>
        <v>0</v>
      </c>
      <c r="I40" s="28">
        <f>+($C$24-SUM($G$34:G39))</f>
        <v>0</v>
      </c>
      <c r="K40" s="30" t="e">
        <f t="shared" si="2"/>
        <v>#N/A</v>
      </c>
      <c r="L40" s="29" t="e">
        <f t="shared" si="3"/>
        <v>#N/A</v>
      </c>
      <c r="M40" s="28">
        <f t="shared" si="4"/>
        <v>1.0355293969407333</v>
      </c>
    </row>
    <row r="41" spans="2:13">
      <c r="B41" s="8">
        <f t="shared" si="5"/>
        <v>8</v>
      </c>
      <c r="C41" s="28">
        <f t="shared" si="0"/>
        <v>0</v>
      </c>
      <c r="D41" s="30" t="e">
        <f t="array" ref="D41">+($C$24-SUM($C$33:C40))*$C$21</f>
        <v>#N/A</v>
      </c>
      <c r="E41" s="28">
        <f>+($C$24-SUM($C$34:C40))</f>
        <v>0</v>
      </c>
      <c r="G41" s="28">
        <f t="shared" si="1"/>
        <v>0</v>
      </c>
      <c r="H41" s="30">
        <f>+($C$24-SUM($G$33:G40))*$C$23</f>
        <v>0</v>
      </c>
      <c r="I41" s="28">
        <f>+($C$24-SUM($G$34:G40))</f>
        <v>0</v>
      </c>
      <c r="K41" s="30" t="e">
        <f t="shared" si="2"/>
        <v>#N/A</v>
      </c>
      <c r="L41" s="29" t="e">
        <f t="shared" si="3"/>
        <v>#N/A</v>
      </c>
      <c r="M41" s="28">
        <f t="shared" si="4"/>
        <v>1.0407070439254369</v>
      </c>
    </row>
    <row r="42" spans="2:13">
      <c r="B42" s="8">
        <f t="shared" si="5"/>
        <v>9</v>
      </c>
      <c r="C42" s="28">
        <f t="shared" si="0"/>
        <v>0</v>
      </c>
      <c r="D42" s="30" t="e">
        <f t="array" ref="D42">+($C$24-SUM($C$33:C41))*$C$21</f>
        <v>#N/A</v>
      </c>
      <c r="E42" s="28">
        <f>+($C$24-SUM($C$34:C41))</f>
        <v>0</v>
      </c>
      <c r="G42" s="28">
        <f t="shared" si="1"/>
        <v>0</v>
      </c>
      <c r="H42" s="30">
        <f>+($C$24-SUM($G$33:G41))*$C$23</f>
        <v>0</v>
      </c>
      <c r="I42" s="28">
        <f>+($C$24-SUM($G$34:G41))</f>
        <v>0</v>
      </c>
      <c r="K42" s="30" t="e">
        <f t="shared" si="2"/>
        <v>#N/A</v>
      </c>
      <c r="L42" s="29" t="e">
        <f t="shared" si="3"/>
        <v>#N/A</v>
      </c>
      <c r="M42" s="28">
        <f t="shared" si="4"/>
        <v>1.045910579145064</v>
      </c>
    </row>
    <row r="43" spans="2:13">
      <c r="B43" s="8">
        <f t="shared" si="5"/>
        <v>10</v>
      </c>
      <c r="C43" s="28">
        <f t="shared" si="0"/>
        <v>0</v>
      </c>
      <c r="D43" s="30" t="e">
        <f t="array" ref="D43">+($C$24-SUM($C$33:C42))*$C$21</f>
        <v>#N/A</v>
      </c>
      <c r="E43" s="28">
        <f>+($C$24-SUM($C$34:C42))</f>
        <v>0</v>
      </c>
      <c r="G43" s="28">
        <f t="shared" si="1"/>
        <v>0</v>
      </c>
      <c r="H43" s="30">
        <f>+($C$24-SUM($G$33:G42))*$C$23</f>
        <v>0</v>
      </c>
      <c r="I43" s="28">
        <f>+($C$24-SUM($G$34:G42))</f>
        <v>0</v>
      </c>
      <c r="K43" s="30" t="e">
        <f t="shared" si="2"/>
        <v>#N/A</v>
      </c>
      <c r="L43" s="29" t="e">
        <f t="shared" si="3"/>
        <v>#N/A</v>
      </c>
      <c r="M43" s="28">
        <f t="shared" si="4"/>
        <v>1.0511401320407892</v>
      </c>
    </row>
    <row r="44" spans="2:13">
      <c r="B44" s="8">
        <f t="shared" si="5"/>
        <v>11</v>
      </c>
      <c r="C44" s="28">
        <f t="shared" si="0"/>
        <v>0</v>
      </c>
      <c r="D44" s="30" t="e">
        <f t="array" ref="D44">+($C$24-SUM($C$33:C43))*$C$21</f>
        <v>#N/A</v>
      </c>
      <c r="E44" s="28">
        <f>+($C$24-SUM($C$34:C43))</f>
        <v>0</v>
      </c>
      <c r="G44" s="28">
        <f t="shared" si="1"/>
        <v>0</v>
      </c>
      <c r="H44" s="30">
        <f>+($C$24-SUM($G$33:G43))*$C$23</f>
        <v>0</v>
      </c>
      <c r="I44" s="28">
        <f>+($C$24-SUM($G$34:G43))</f>
        <v>0</v>
      </c>
      <c r="K44" s="30" t="e">
        <f t="shared" si="2"/>
        <v>#N/A</v>
      </c>
      <c r="L44" s="29" t="e">
        <f t="shared" si="3"/>
        <v>#N/A</v>
      </c>
      <c r="M44" s="28">
        <f t="shared" si="4"/>
        <v>1.056395832700993</v>
      </c>
    </row>
    <row r="45" spans="2:13">
      <c r="B45" s="8">
        <f t="shared" si="5"/>
        <v>12</v>
      </c>
      <c r="C45" s="28">
        <f t="shared" si="0"/>
        <v>0</v>
      </c>
      <c r="D45" s="30" t="e">
        <f t="array" ref="D45">+($C$24-SUM($C$33:C44))*$C$21</f>
        <v>#N/A</v>
      </c>
      <c r="E45" s="28">
        <f>+($C$24-SUM($C$34:C44))</f>
        <v>0</v>
      </c>
      <c r="G45" s="28">
        <f t="shared" si="1"/>
        <v>0</v>
      </c>
      <c r="H45" s="30">
        <f>+($C$24-SUM($G$33:G44))*$C$23</f>
        <v>0</v>
      </c>
      <c r="I45" s="28">
        <f>+($C$24-SUM($G$34:G44))</f>
        <v>0</v>
      </c>
      <c r="K45" s="30" t="e">
        <f t="shared" si="2"/>
        <v>#N/A</v>
      </c>
      <c r="L45" s="29" t="e">
        <f t="shared" si="3"/>
        <v>#N/A</v>
      </c>
      <c r="M45" s="28">
        <f t="shared" si="4"/>
        <v>1.0616778118644976</v>
      </c>
    </row>
    <row r="46" spans="2:13">
      <c r="B46" s="8">
        <f t="shared" si="5"/>
        <v>13</v>
      </c>
      <c r="C46" s="28">
        <f t="shared" si="0"/>
        <v>0</v>
      </c>
      <c r="D46" s="30" t="e">
        <f t="array" ref="D46">+($C$24-SUM($C$33:C45))*$C$21</f>
        <v>#N/A</v>
      </c>
      <c r="E46" s="28">
        <f>+($C$24-SUM($C$34:C45))</f>
        <v>0</v>
      </c>
      <c r="G46" s="28">
        <f t="shared" si="1"/>
        <v>0</v>
      </c>
      <c r="H46" s="30">
        <f>+($C$24-SUM($G$33:G45))*$C$23</f>
        <v>0</v>
      </c>
      <c r="I46" s="28">
        <f>+($C$24-SUM($G$34:G45))</f>
        <v>0</v>
      </c>
      <c r="K46" s="30" t="e">
        <f t="shared" si="2"/>
        <v>#N/A</v>
      </c>
      <c r="L46" s="29" t="e">
        <f t="shared" si="3"/>
        <v>#N/A</v>
      </c>
      <c r="M46" s="28">
        <f t="shared" si="4"/>
        <v>1.06698620092382</v>
      </c>
    </row>
    <row r="47" spans="2:13">
      <c r="B47" s="8">
        <f t="shared" si="5"/>
        <v>14</v>
      </c>
      <c r="C47" s="28">
        <f t="shared" si="0"/>
        <v>0</v>
      </c>
      <c r="D47" s="30" t="e">
        <f t="array" ref="D47">+($C$24-SUM($C$33:C46))*$C$21</f>
        <v>#N/A</v>
      </c>
      <c r="E47" s="28">
        <f>+($C$24-SUM($C$34:C46))</f>
        <v>0</v>
      </c>
      <c r="G47" s="28">
        <f t="shared" si="1"/>
        <v>0</v>
      </c>
      <c r="H47" s="30">
        <f>+($C$24-SUM($G$33:G46))*$C$23</f>
        <v>0</v>
      </c>
      <c r="I47" s="28">
        <f>+($C$24-SUM($G$34:G46))</f>
        <v>0</v>
      </c>
      <c r="K47" s="30" t="e">
        <f t="shared" si="2"/>
        <v>#N/A</v>
      </c>
      <c r="L47" s="29" t="e">
        <f t="shared" si="3"/>
        <v>#N/A</v>
      </c>
      <c r="M47" s="28">
        <f t="shared" si="4"/>
        <v>1.0723211319284389</v>
      </c>
    </row>
    <row r="48" spans="2:13">
      <c r="B48" s="8">
        <f t="shared" si="5"/>
        <v>15</v>
      </c>
      <c r="C48" s="28">
        <f t="shared" si="0"/>
        <v>0</v>
      </c>
      <c r="D48" s="30" t="e">
        <f t="array" ref="D48">+($C$24-SUM($C$33:C47))*$C$21</f>
        <v>#N/A</v>
      </c>
      <c r="E48" s="28">
        <f>+($C$24-SUM($C$34:C47))</f>
        <v>0</v>
      </c>
      <c r="G48" s="28">
        <f t="shared" si="1"/>
        <v>0</v>
      </c>
      <c r="H48" s="30">
        <f>+($C$24-SUM($G$33:G47))*$C$23</f>
        <v>0</v>
      </c>
      <c r="I48" s="28">
        <f>+($C$24-SUM($G$34:G47))</f>
        <v>0</v>
      </c>
      <c r="K48" s="30" t="e">
        <f t="shared" si="2"/>
        <v>#N/A</v>
      </c>
      <c r="L48" s="29" t="e">
        <f t="shared" si="3"/>
        <v>#N/A</v>
      </c>
      <c r="M48" s="28">
        <f t="shared" si="4"/>
        <v>1.0776827375880809</v>
      </c>
    </row>
    <row r="49" spans="2:13">
      <c r="B49" s="8">
        <f t="shared" si="5"/>
        <v>16</v>
      </c>
      <c r="C49" s="28">
        <f t="shared" si="0"/>
        <v>0</v>
      </c>
      <c r="D49" s="30" t="e">
        <f t="array" ref="D49">+($C$24-SUM($C$33:C48))*$C$21</f>
        <v>#N/A</v>
      </c>
      <c r="E49" s="28">
        <f>+($C$24-SUM($C$34:C48))</f>
        <v>0</v>
      </c>
      <c r="G49" s="28">
        <f t="shared" si="1"/>
        <v>0</v>
      </c>
      <c r="H49" s="30">
        <f>+($C$24-SUM($G$33:G48))*$C$23</f>
        <v>0</v>
      </c>
      <c r="I49" s="28">
        <f>+($C$24-SUM($G$34:G48))</f>
        <v>0</v>
      </c>
      <c r="K49" s="30" t="e">
        <f t="shared" si="2"/>
        <v>#N/A</v>
      </c>
      <c r="L49" s="29" t="e">
        <f t="shared" si="3"/>
        <v>#N/A</v>
      </c>
      <c r="M49" s="28">
        <f t="shared" si="4"/>
        <v>1.0830711512760212</v>
      </c>
    </row>
    <row r="50" spans="2:13">
      <c r="B50" s="8">
        <f t="shared" si="5"/>
        <v>17</v>
      </c>
      <c r="C50" s="28">
        <f t="shared" si="0"/>
        <v>0</v>
      </c>
      <c r="D50" s="30" t="e">
        <f t="array" ref="D50">+($C$24-SUM($C$33:C49))*$C$21</f>
        <v>#N/A</v>
      </c>
      <c r="E50" s="28">
        <f>+($C$24-SUM($C$34:C49))</f>
        <v>0</v>
      </c>
      <c r="G50" s="28">
        <f t="shared" si="1"/>
        <v>0</v>
      </c>
      <c r="H50" s="30">
        <f>+($C$24-SUM($G$33:G49))*$C$23</f>
        <v>0</v>
      </c>
      <c r="I50" s="28">
        <f>+($C$24-SUM($G$34:G49))</f>
        <v>0</v>
      </c>
      <c r="K50" s="30" t="e">
        <f t="shared" si="2"/>
        <v>#N/A</v>
      </c>
      <c r="L50" s="29" t="e">
        <f t="shared" si="3"/>
        <v>#N/A</v>
      </c>
      <c r="M50" s="28">
        <f t="shared" si="4"/>
        <v>1.0884865070324012</v>
      </c>
    </row>
    <row r="51" spans="2:13">
      <c r="B51" s="8">
        <f t="shared" si="5"/>
        <v>18</v>
      </c>
      <c r="C51" s="28">
        <f t="shared" si="0"/>
        <v>0</v>
      </c>
      <c r="D51" s="30" t="e">
        <f t="array" ref="D51">+($C$24-SUM($C$33:C50))*$C$21</f>
        <v>#N/A</v>
      </c>
      <c r="E51" s="28">
        <f>+($C$24-SUM($C$34:C50))</f>
        <v>0</v>
      </c>
      <c r="G51" s="28">
        <f t="shared" si="1"/>
        <v>0</v>
      </c>
      <c r="H51" s="30">
        <f>+($C$24-SUM($G$33:G50))*$C$23</f>
        <v>0</v>
      </c>
      <c r="I51" s="28">
        <f>+($C$24-SUM($G$34:G50))</f>
        <v>0</v>
      </c>
      <c r="K51" s="30" t="e">
        <f t="shared" si="2"/>
        <v>#N/A</v>
      </c>
      <c r="L51" s="29" t="e">
        <f t="shared" si="3"/>
        <v>#N/A</v>
      </c>
      <c r="M51" s="28">
        <f t="shared" si="4"/>
        <v>1.0939289395675629</v>
      </c>
    </row>
    <row r="52" spans="2:13">
      <c r="B52" s="8">
        <f t="shared" si="5"/>
        <v>19</v>
      </c>
      <c r="C52" s="28">
        <f t="shared" si="0"/>
        <v>0</v>
      </c>
      <c r="D52" s="30" t="e">
        <f t="array" ref="D52">+($C$24-SUM($C$33:C51))*$C$21</f>
        <v>#N/A</v>
      </c>
      <c r="E52" s="28">
        <f>+($C$24-SUM($C$34:C51))</f>
        <v>0</v>
      </c>
      <c r="G52" s="28">
        <f t="shared" si="1"/>
        <v>0</v>
      </c>
      <c r="H52" s="30">
        <f>+($C$24-SUM($G$33:G51))*$C$23</f>
        <v>0</v>
      </c>
      <c r="I52" s="28">
        <f>+($C$24-SUM($G$34:G51))</f>
        <v>0</v>
      </c>
      <c r="K52" s="30" t="e">
        <f t="shared" si="2"/>
        <v>#N/A</v>
      </c>
      <c r="L52" s="29" t="e">
        <f t="shared" si="3"/>
        <v>#N/A</v>
      </c>
      <c r="M52" s="28">
        <f t="shared" si="4"/>
        <v>1.0993985842654006</v>
      </c>
    </row>
    <row r="53" spans="2:13">
      <c r="B53" s="8">
        <f t="shared" si="5"/>
        <v>20</v>
      </c>
      <c r="C53" s="28">
        <f t="shared" si="0"/>
        <v>0</v>
      </c>
      <c r="D53" s="30" t="e">
        <f t="array" ref="D53">+($C$24-SUM($C$33:C52))*$C$21</f>
        <v>#N/A</v>
      </c>
      <c r="E53" s="28">
        <f>+($C$24-SUM($C$34:C52))</f>
        <v>0</v>
      </c>
      <c r="G53" s="28">
        <f t="shared" si="1"/>
        <v>0</v>
      </c>
      <c r="H53" s="30">
        <f>+($C$24-SUM($G$33:G52))*$C$23</f>
        <v>0</v>
      </c>
      <c r="I53" s="28">
        <f>+($C$24-SUM($G$34:G52))</f>
        <v>0</v>
      </c>
      <c r="K53" s="30" t="e">
        <f t="shared" si="2"/>
        <v>#N/A</v>
      </c>
      <c r="L53" s="29" t="e">
        <f t="shared" si="3"/>
        <v>#N/A</v>
      </c>
      <c r="M53" s="28">
        <f t="shared" si="4"/>
        <v>1.1048955771867275</v>
      </c>
    </row>
    <row r="54" spans="2:13">
      <c r="B54" s="8">
        <f t="shared" si="5"/>
        <v>21</v>
      </c>
      <c r="C54" s="28">
        <f t="shared" si="0"/>
        <v>0</v>
      </c>
      <c r="D54" s="30" t="e">
        <f t="array" ref="D54">+($C$24-SUM($C$33:C53))*$C$21</f>
        <v>#N/A</v>
      </c>
      <c r="E54" s="28">
        <f>+($C$24-SUM($C$34:C53))</f>
        <v>0</v>
      </c>
      <c r="G54" s="28">
        <f t="shared" si="1"/>
        <v>0</v>
      </c>
      <c r="H54" s="30">
        <f>+($C$24-SUM($G$33:G53))*$C$23</f>
        <v>0</v>
      </c>
      <c r="I54" s="28">
        <f>+($C$24-SUM($G$34:G53))</f>
        <v>0</v>
      </c>
      <c r="K54" s="30" t="e">
        <f t="shared" si="2"/>
        <v>#N/A</v>
      </c>
      <c r="L54" s="29" t="e">
        <f t="shared" si="3"/>
        <v>#N/A</v>
      </c>
      <c r="M54" s="28">
        <f t="shared" si="4"/>
        <v>1.1104200550726608</v>
      </c>
    </row>
    <row r="55" spans="2:13">
      <c r="B55" s="8">
        <f t="shared" si="5"/>
        <v>22</v>
      </c>
      <c r="C55" s="28">
        <f t="shared" si="0"/>
        <v>0</v>
      </c>
      <c r="D55" s="30" t="e">
        <f t="array" ref="D55">+($C$24-SUM($C$33:C54))*$C$21</f>
        <v>#N/A</v>
      </c>
      <c r="E55" s="28">
        <f>+($C$24-SUM($C$34:C54))</f>
        <v>0</v>
      </c>
      <c r="G55" s="28">
        <f t="shared" si="1"/>
        <v>0</v>
      </c>
      <c r="H55" s="30">
        <f>+($C$24-SUM($G$33:G54))*$C$23</f>
        <v>0</v>
      </c>
      <c r="I55" s="28">
        <f>+($C$24-SUM($G$34:G54))</f>
        <v>0</v>
      </c>
      <c r="K55" s="30" t="e">
        <f t="shared" si="2"/>
        <v>#N/A</v>
      </c>
      <c r="L55" s="29" t="e">
        <f t="shared" si="3"/>
        <v>#N/A</v>
      </c>
      <c r="M55" s="28">
        <f t="shared" si="4"/>
        <v>1.115972155348024</v>
      </c>
    </row>
    <row r="56" spans="2:13">
      <c r="B56" s="8">
        <f t="shared" si="5"/>
        <v>23</v>
      </c>
      <c r="C56" s="28">
        <f t="shared" si="0"/>
        <v>0</v>
      </c>
      <c r="D56" s="30" t="e">
        <f t="array" ref="D56">+($C$24-SUM($C$33:C55))*$C$21</f>
        <v>#N/A</v>
      </c>
      <c r="E56" s="28">
        <f>+($C$24-SUM($C$34:C55))</f>
        <v>0</v>
      </c>
      <c r="G56" s="28">
        <f t="shared" si="1"/>
        <v>0</v>
      </c>
      <c r="H56" s="30">
        <f>+($C$24-SUM($G$33:G55))*$C$23</f>
        <v>0</v>
      </c>
      <c r="I56" s="28">
        <f>+($C$24-SUM($G$34:G55))</f>
        <v>0</v>
      </c>
      <c r="K56" s="30" t="e">
        <f t="shared" si="2"/>
        <v>#N/A</v>
      </c>
      <c r="L56" s="29" t="e">
        <f t="shared" si="3"/>
        <v>#N/A</v>
      </c>
      <c r="M56" s="28">
        <f t="shared" si="4"/>
        <v>1.1215520161247639</v>
      </c>
    </row>
    <row r="57" spans="2:13">
      <c r="B57" s="8">
        <f t="shared" si="5"/>
        <v>24</v>
      </c>
      <c r="C57" s="28">
        <f t="shared" si="0"/>
        <v>0</v>
      </c>
      <c r="D57" s="30" t="e">
        <f t="array" ref="D57">+($C$24-SUM($C$33:C56))*$C$21</f>
        <v>#N/A</v>
      </c>
      <c r="E57" s="28">
        <f>+($C$24-SUM($C$34:C56))</f>
        <v>0</v>
      </c>
      <c r="G57" s="28">
        <f t="shared" si="1"/>
        <v>0</v>
      </c>
      <c r="H57" s="30">
        <f>+($C$24-SUM($G$33:G56))*$C$23</f>
        <v>0</v>
      </c>
      <c r="I57" s="28">
        <f>+($C$24-SUM($G$34:G56))</f>
        <v>0</v>
      </c>
      <c r="K57" s="30" t="e">
        <f t="shared" si="2"/>
        <v>#N/A</v>
      </c>
      <c r="L57" s="29" t="e">
        <f t="shared" si="3"/>
        <v>#N/A</v>
      </c>
      <c r="M57" s="28">
        <f t="shared" si="4"/>
        <v>1.1271597762053878</v>
      </c>
    </row>
    <row r="58" spans="2:13">
      <c r="B58" s="8">
        <f t="shared" si="5"/>
        <v>25</v>
      </c>
      <c r="C58" s="28">
        <f t="shared" si="0"/>
        <v>0</v>
      </c>
      <c r="D58" s="30" t="e">
        <f t="array" ref="D58">+($C$24-SUM($C$33:C57))*$C$21</f>
        <v>#N/A</v>
      </c>
      <c r="E58" s="28">
        <f>+($C$24-SUM($C$34:C57))</f>
        <v>0</v>
      </c>
      <c r="G58" s="28">
        <f t="shared" si="1"/>
        <v>0</v>
      </c>
      <c r="H58" s="30">
        <f>+($C$24-SUM($G$33:G57))*$C$23</f>
        <v>0</v>
      </c>
      <c r="I58" s="28">
        <f>+($C$24-SUM($G$34:G57))</f>
        <v>0</v>
      </c>
      <c r="K58" s="30" t="e">
        <f t="shared" si="2"/>
        <v>#N/A</v>
      </c>
      <c r="L58" s="29" t="e">
        <f t="shared" si="3"/>
        <v>#N/A</v>
      </c>
      <c r="M58" s="28">
        <f t="shared" si="4"/>
        <v>1.1327955750864145</v>
      </c>
    </row>
    <row r="59" spans="2:13">
      <c r="B59" s="8">
        <f t="shared" si="5"/>
        <v>26</v>
      </c>
      <c r="C59" s="28">
        <f t="shared" si="0"/>
        <v>0</v>
      </c>
      <c r="D59" s="30" t="e">
        <f t="array" ref="D59">+($C$24-SUM($C$33:C58))*$C$21</f>
        <v>#N/A</v>
      </c>
      <c r="E59" s="28">
        <f>+($C$24-SUM($C$34:C58))</f>
        <v>0</v>
      </c>
      <c r="G59" s="28">
        <f t="shared" si="1"/>
        <v>0</v>
      </c>
      <c r="H59" s="30">
        <f>+($C$24-SUM($G$33:G58))*$C$23</f>
        <v>0</v>
      </c>
      <c r="I59" s="28">
        <f>+($C$24-SUM($G$34:G58))</f>
        <v>0</v>
      </c>
      <c r="K59" s="30" t="e">
        <f t="shared" si="2"/>
        <v>#N/A</v>
      </c>
      <c r="L59" s="29" t="e">
        <f t="shared" si="3"/>
        <v>#N/A</v>
      </c>
      <c r="M59" s="28">
        <f t="shared" si="4"/>
        <v>1.1384595529618464</v>
      </c>
    </row>
    <row r="60" spans="2:13">
      <c r="B60" s="8">
        <f t="shared" si="5"/>
        <v>27</v>
      </c>
      <c r="C60" s="28">
        <f t="shared" si="0"/>
        <v>0</v>
      </c>
      <c r="D60" s="30" t="e">
        <f t="array" ref="D60">+($C$24-SUM($C$33:C59))*$C$21</f>
        <v>#N/A</v>
      </c>
      <c r="E60" s="28">
        <f>+($C$24-SUM($C$34:C59))</f>
        <v>0</v>
      </c>
      <c r="G60" s="28">
        <f t="shared" si="1"/>
        <v>0</v>
      </c>
      <c r="H60" s="30">
        <f>+($C$24-SUM($G$33:G59))*$C$23</f>
        <v>0</v>
      </c>
      <c r="I60" s="28">
        <f>+($C$24-SUM($G$34:G59))</f>
        <v>0</v>
      </c>
      <c r="K60" s="30" t="e">
        <f t="shared" si="2"/>
        <v>#N/A</v>
      </c>
      <c r="L60" s="29" t="e">
        <f t="shared" si="3"/>
        <v>#N/A</v>
      </c>
      <c r="M60" s="28">
        <f t="shared" si="4"/>
        <v>1.1441518507266555</v>
      </c>
    </row>
    <row r="61" spans="2:13">
      <c r="B61" s="8">
        <f t="shared" si="5"/>
        <v>28</v>
      </c>
      <c r="C61" s="28">
        <f t="shared" si="0"/>
        <v>0</v>
      </c>
      <c r="D61" s="30" t="e">
        <f t="array" ref="D61">+($C$24-SUM($C$33:C60))*$C$21</f>
        <v>#N/A</v>
      </c>
      <c r="E61" s="28">
        <f>+($C$24-SUM($C$34:C60))</f>
        <v>0</v>
      </c>
      <c r="G61" s="28">
        <f t="shared" si="1"/>
        <v>0</v>
      </c>
      <c r="H61" s="30">
        <f>+($C$24-SUM($G$33:G60))*$C$23</f>
        <v>0</v>
      </c>
      <c r="I61" s="28">
        <f>+($C$24-SUM($G$34:G60))</f>
        <v>0</v>
      </c>
      <c r="K61" s="30" t="e">
        <f t="shared" si="2"/>
        <v>#N/A</v>
      </c>
      <c r="L61" s="29" t="e">
        <f t="shared" si="3"/>
        <v>#N/A</v>
      </c>
      <c r="M61" s="28">
        <f t="shared" si="4"/>
        <v>1.1498726099802885</v>
      </c>
    </row>
    <row r="62" spans="2:13">
      <c r="B62" s="8">
        <f t="shared" si="5"/>
        <v>29</v>
      </c>
      <c r="C62" s="28">
        <f t="shared" si="0"/>
        <v>0</v>
      </c>
      <c r="D62" s="30" t="e">
        <f t="array" ref="D62">+($C$24-SUM($C$33:C61))*$C$21</f>
        <v>#N/A</v>
      </c>
      <c r="E62" s="28">
        <f>+($C$24-SUM($C$34:C61))</f>
        <v>0</v>
      </c>
      <c r="G62" s="28">
        <f t="shared" si="1"/>
        <v>0</v>
      </c>
      <c r="H62" s="30">
        <f>+($C$24-SUM($G$33:G61))*$C$23</f>
        <v>0</v>
      </c>
      <c r="I62" s="28">
        <f>+($C$24-SUM($G$34:G61))</f>
        <v>0</v>
      </c>
      <c r="K62" s="30" t="e">
        <f t="shared" si="2"/>
        <v>#N/A</v>
      </c>
      <c r="L62" s="29" t="e">
        <f t="shared" si="3"/>
        <v>#N/A</v>
      </c>
      <c r="M62" s="28">
        <f t="shared" si="4"/>
        <v>1.1556219730301898</v>
      </c>
    </row>
    <row r="63" spans="2:13">
      <c r="B63" s="8">
        <f t="shared" si="5"/>
        <v>30</v>
      </c>
      <c r="C63" s="28">
        <f t="shared" si="0"/>
        <v>0</v>
      </c>
      <c r="D63" s="30" t="e">
        <f t="array" ref="D63">+($C$24-SUM($C$33:C62))*$C$21</f>
        <v>#N/A</v>
      </c>
      <c r="E63" s="28">
        <f>+($C$24-SUM($C$34:C62))</f>
        <v>0</v>
      </c>
      <c r="G63" s="28">
        <f t="shared" si="1"/>
        <v>0</v>
      </c>
      <c r="H63" s="30">
        <f>+($C$24-SUM($G$33:G62))*$C$23</f>
        <v>0</v>
      </c>
      <c r="I63" s="28">
        <f>+($C$24-SUM($G$34:G62))</f>
        <v>0</v>
      </c>
      <c r="K63" s="30" t="e">
        <f t="shared" si="2"/>
        <v>#N/A</v>
      </c>
      <c r="L63" s="29" t="e">
        <f t="shared" si="3"/>
        <v>#N/A</v>
      </c>
      <c r="M63" s="28">
        <f t="shared" si="4"/>
        <v>1.1614000828953406</v>
      </c>
    </row>
    <row r="66" spans="2:8" ht="15.75" thickBot="1"/>
    <row r="67" spans="2:8" ht="15.75" thickBot="1">
      <c r="B67" s="131" t="s">
        <v>31</v>
      </c>
      <c r="C67" s="132"/>
      <c r="D67" s="132"/>
      <c r="E67" s="132"/>
      <c r="F67" s="132"/>
      <c r="G67" s="132"/>
      <c r="H67" s="133"/>
    </row>
    <row r="68" spans="2:8">
      <c r="B68" s="27"/>
      <c r="C68" s="27"/>
      <c r="D68" s="24"/>
      <c r="E68" s="23"/>
      <c r="F68" s="23"/>
      <c r="G68" s="23"/>
      <c r="H68" s="23"/>
    </row>
    <row r="69" spans="2:8">
      <c r="B69" s="25" t="s">
        <v>109</v>
      </c>
      <c r="C69" s="24"/>
      <c r="D69" s="24"/>
      <c r="E69" s="23"/>
      <c r="F69" s="23"/>
      <c r="G69" s="23"/>
      <c r="H69" s="23"/>
    </row>
    <row r="70" spans="2:8">
      <c r="B70" s="26" t="s">
        <v>110</v>
      </c>
      <c r="C70" s="24"/>
      <c r="D70" s="24"/>
      <c r="E70" s="23"/>
      <c r="F70" s="23"/>
      <c r="G70" s="23"/>
      <c r="H70" s="23"/>
    </row>
    <row r="71" spans="2:8">
      <c r="B71" s="26" t="s">
        <v>111</v>
      </c>
      <c r="C71" s="24"/>
      <c r="D71" s="24"/>
      <c r="E71" s="23"/>
      <c r="F71" s="23"/>
      <c r="G71" s="23"/>
      <c r="H71" s="23"/>
    </row>
    <row r="72" spans="2:8">
      <c r="B72" s="23"/>
      <c r="C72" s="24"/>
      <c r="D72" s="24"/>
      <c r="E72" s="23"/>
      <c r="F72" s="23"/>
      <c r="G72" s="23"/>
      <c r="H72" s="23"/>
    </row>
    <row r="73" spans="2:8">
      <c r="B73" s="25" t="s">
        <v>112</v>
      </c>
      <c r="C73" s="24"/>
      <c r="D73" s="24"/>
      <c r="E73" s="23"/>
      <c r="F73" s="23"/>
      <c r="G73" s="23"/>
      <c r="H73" s="23"/>
    </row>
    <row r="74" spans="2:8">
      <c r="B74" s="26" t="s">
        <v>48</v>
      </c>
      <c r="C74" s="24"/>
      <c r="D74" s="24"/>
      <c r="E74" s="23"/>
      <c r="F74" s="23"/>
      <c r="G74" s="23"/>
      <c r="H74" s="23"/>
    </row>
    <row r="75" spans="2:8">
      <c r="B75" s="23"/>
      <c r="C75" s="24"/>
      <c r="D75" s="24"/>
      <c r="E75" s="23"/>
      <c r="F75" s="23"/>
      <c r="G75" s="23"/>
      <c r="H75" s="23"/>
    </row>
    <row r="76" spans="2:8">
      <c r="B76" s="25" t="s">
        <v>113</v>
      </c>
      <c r="C76" s="24"/>
      <c r="D76" s="24"/>
      <c r="E76" s="23"/>
      <c r="F76" s="23"/>
      <c r="G76" s="23"/>
      <c r="H76" s="23"/>
    </row>
    <row r="77" spans="2:8">
      <c r="B77" s="19" t="s">
        <v>114</v>
      </c>
      <c r="C77" s="24"/>
      <c r="D77" s="24"/>
      <c r="E77" s="23"/>
      <c r="F77" s="23"/>
      <c r="G77" s="23"/>
      <c r="H77" s="23"/>
    </row>
    <row r="90" spans="4:6">
      <c r="D90" s="8">
        <v>15</v>
      </c>
      <c r="E90" s="8">
        <v>12</v>
      </c>
      <c r="F90" s="8">
        <f>SUM($D90:$E90)</f>
        <v>27</v>
      </c>
    </row>
    <row r="91" spans="4:6">
      <c r="D91" s="8">
        <v>1</v>
      </c>
      <c r="E91" s="8">
        <v>3</v>
      </c>
      <c r="F91" s="8">
        <f>D91*E91</f>
        <v>3</v>
      </c>
    </row>
  </sheetData>
  <sheetProtection algorithmName="SHA-512" hashValue="CCerDdZEQvEVPnzS0Ol0yCAxu9mKk919xAvwdSGClLqAt8VvdNKetsO74s+JP8wzv5SUhlxSg+1AB2RxAmQhbg==" saltValue="L3lQMKuP9W1Rb4DPYxt1JQ==" spinCount="100000" sheet="1" formatCells="0" insertColumns="0" insertRows="0" insertHyperlinks="0" deleteColumns="0" deleteRows="0" sort="0" autoFilter="0" pivotTables="0"/>
  <mergeCells count="3">
    <mergeCell ref="O5:T5"/>
    <mergeCell ref="B2:C2"/>
    <mergeCell ref="B67:H67"/>
  </mergeCells>
  <dataValidations disablePrompts="1" count="1">
    <dataValidation type="list" allowBlank="1" showInputMessage="1" showErrorMessage="1" sqref="C13" xr:uid="{00000000-0002-0000-0300-000000000000}">
      <formula1>$F$8:$F$24</formula1>
    </dataValidation>
  </dataValidations>
  <hyperlinks>
    <hyperlink ref="G2" r:id="rId1" xr:uid="{00000000-0004-0000-0300-000000000000}"/>
    <hyperlink ref="B70" r:id="rId2" xr:uid="{00000000-0004-0000-0300-000001000000}"/>
    <hyperlink ref="B71" r:id="rId3" xr:uid="{00000000-0004-0000-0300-000002000000}"/>
    <hyperlink ref="B77" r:id="rId4" display="https://eur-lex.europa.eu/legal-content/EN/TXT/?uri=CELEX%3A32013R1407" xr:uid="{00000000-0004-0000-0300-000003000000}"/>
    <hyperlink ref="B74" r:id="rId5" xr:uid="{00000000-0004-0000-0300-000004000000}"/>
  </hyperlinks>
  <pageMargins left="0.7" right="0.7" top="0.75" bottom="0.75" header="0.3" footer="0.3"/>
  <pageSetup paperSize="9" scale="79" orientation="landscape" r:id="rId6"/>
  <headerFooter>
    <oddHeader>&amp;L&amp;KFF0000Disclaimer:&amp;K01+000 Document provided for indicative purporses only.  EIB does not accept any responsibility for or obligation or duty with respect to any part or all of the document of any nature or kind</oddHeader>
    <oddFooter>&amp;L &amp;KFF0000Disclaimer:EIB&amp;K01+000 shall not held liable or responsible for the use of this document and its accuracy.</oddFooter>
  </headerFooter>
  <drawing r:id="rId7"/>
  <legacy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
  <sheetViews>
    <sheetView workbookViewId="0">
      <selection activeCell="B96" sqref="B96"/>
    </sheetView>
  </sheetViews>
  <sheetFormatPr defaultColWidth="11.42578125" defaultRowHeight="15"/>
  <cols>
    <col min="1" max="1" width="11.42578125" style="3"/>
    <col min="2" max="2" width="57.5703125" style="3" customWidth="1"/>
    <col min="3" max="3" width="12.7109375" style="3" customWidth="1"/>
    <col min="4" max="4" width="78.5703125" style="3" bestFit="1" customWidth="1"/>
    <col min="5" max="5" width="10.42578125" bestFit="1" customWidth="1"/>
    <col min="6" max="6" width="32.5703125" style="2" customWidth="1"/>
    <col min="7" max="7" width="95" bestFit="1" customWidth="1"/>
  </cols>
  <sheetData>
    <row r="1" spans="1:4">
      <c r="A1" s="134" t="s">
        <v>115</v>
      </c>
      <c r="B1" s="135"/>
      <c r="C1" s="136" t="s">
        <v>116</v>
      </c>
      <c r="D1" s="136"/>
    </row>
    <row r="2" spans="1:4">
      <c r="A2" s="78" t="s">
        <v>117</v>
      </c>
      <c r="B2" s="79" t="s">
        <v>118</v>
      </c>
    </row>
    <row r="3" spans="1:4" ht="15.75">
      <c r="A3" s="78" t="s">
        <v>119</v>
      </c>
      <c r="B3" s="80" t="s">
        <v>120</v>
      </c>
    </row>
    <row r="4" spans="1:4" ht="15.75">
      <c r="A4" s="78" t="s">
        <v>121</v>
      </c>
      <c r="B4" s="80" t="s">
        <v>122</v>
      </c>
    </row>
    <row r="5" spans="1:4" ht="15.75">
      <c r="A5" s="78" t="s">
        <v>123</v>
      </c>
      <c r="B5" s="80" t="s">
        <v>124</v>
      </c>
    </row>
    <row r="6" spans="1:4" ht="15.75">
      <c r="A6" s="78" t="s">
        <v>125</v>
      </c>
      <c r="B6" s="80" t="s">
        <v>126</v>
      </c>
    </row>
    <row r="7" spans="1:4" ht="15.75">
      <c r="A7" s="81" t="s">
        <v>127</v>
      </c>
      <c r="B7" s="82" t="s">
        <v>128</v>
      </c>
    </row>
    <row r="8" spans="1:4" ht="15.75">
      <c r="A8" s="78" t="s">
        <v>129</v>
      </c>
      <c r="B8" s="83" t="s">
        <v>130</v>
      </c>
    </row>
    <row r="9" spans="1:4" ht="15.75">
      <c r="A9" s="78" t="s">
        <v>131</v>
      </c>
      <c r="B9" s="83" t="s">
        <v>132</v>
      </c>
    </row>
    <row r="10" spans="1:4" ht="15.75">
      <c r="A10" s="78" t="s">
        <v>133</v>
      </c>
      <c r="B10" s="83" t="s">
        <v>134</v>
      </c>
    </row>
    <row r="11" spans="1:4" ht="15.75">
      <c r="A11" s="78" t="s">
        <v>135</v>
      </c>
      <c r="B11" s="83" t="s">
        <v>136</v>
      </c>
    </row>
    <row r="12" spans="1:4" ht="15.75">
      <c r="A12" s="78" t="s">
        <v>137</v>
      </c>
      <c r="B12" s="83" t="s">
        <v>138</v>
      </c>
    </row>
    <row r="13" spans="1:4" ht="15.75">
      <c r="A13" s="78" t="s">
        <v>139</v>
      </c>
      <c r="B13" s="83" t="s">
        <v>140</v>
      </c>
    </row>
    <row r="14" spans="1:4" ht="15.75">
      <c r="A14" s="78" t="s">
        <v>141</v>
      </c>
      <c r="B14" s="83" t="s">
        <v>142</v>
      </c>
    </row>
    <row r="15" spans="1:4" ht="15.75">
      <c r="A15" s="78" t="s">
        <v>143</v>
      </c>
      <c r="B15" s="83" t="s">
        <v>144</v>
      </c>
    </row>
    <row r="16" spans="1:4" ht="15.75">
      <c r="A16" s="78" t="s">
        <v>145</v>
      </c>
      <c r="B16" s="80" t="s">
        <v>146</v>
      </c>
    </row>
    <row r="17" spans="1:6" ht="15.75">
      <c r="A17" s="78" t="s">
        <v>147</v>
      </c>
      <c r="B17" s="80" t="s">
        <v>148</v>
      </c>
    </row>
    <row r="18" spans="1:6">
      <c r="A18" s="78"/>
      <c r="B18" s="84"/>
    </row>
    <row r="19" spans="1:6">
      <c r="A19" s="78" t="s">
        <v>149</v>
      </c>
      <c r="B19" s="79" t="s">
        <v>150</v>
      </c>
    </row>
    <row r="20" spans="1:6" ht="15.75">
      <c r="A20" s="78" t="s">
        <v>151</v>
      </c>
      <c r="B20" s="80" t="s">
        <v>152</v>
      </c>
    </row>
    <row r="21" spans="1:6" ht="15.75">
      <c r="A21" s="78" t="s">
        <v>153</v>
      </c>
      <c r="B21" s="80" t="s">
        <v>154</v>
      </c>
    </row>
    <row r="22" spans="1:6" ht="15.75">
      <c r="A22" s="78" t="s">
        <v>155</v>
      </c>
      <c r="B22" s="80" t="s">
        <v>156</v>
      </c>
    </row>
    <row r="23" spans="1:6" ht="15.75">
      <c r="A23" s="85" t="s">
        <v>157</v>
      </c>
      <c r="B23" s="86" t="s">
        <v>158</v>
      </c>
      <c r="C23" s="4" t="s">
        <v>159</v>
      </c>
      <c r="D23" s="76" t="s">
        <v>160</v>
      </c>
    </row>
    <row r="24" spans="1:6" ht="15.75">
      <c r="A24" s="78" t="s">
        <v>161</v>
      </c>
      <c r="B24" s="80" t="s">
        <v>162</v>
      </c>
      <c r="D24" s="75"/>
    </row>
    <row r="25" spans="1:6" ht="15.75">
      <c r="A25" s="87" t="s">
        <v>163</v>
      </c>
      <c r="B25" s="86" t="s">
        <v>164</v>
      </c>
      <c r="C25" s="4" t="s">
        <v>165</v>
      </c>
      <c r="D25" s="76" t="s">
        <v>166</v>
      </c>
    </row>
    <row r="26" spans="1:6" ht="15.75">
      <c r="A26" s="87"/>
      <c r="B26" s="88"/>
      <c r="C26" s="4" t="s">
        <v>167</v>
      </c>
      <c r="D26" s="76" t="s">
        <v>168</v>
      </c>
    </row>
    <row r="27" spans="1:6" ht="15.75">
      <c r="A27" s="87"/>
      <c r="B27" s="88"/>
      <c r="C27" s="4" t="s">
        <v>169</v>
      </c>
      <c r="D27" s="76" t="s">
        <v>170</v>
      </c>
    </row>
    <row r="28" spans="1:6" ht="15.75">
      <c r="A28" s="87" t="s">
        <v>171</v>
      </c>
      <c r="B28" s="86" t="s">
        <v>172</v>
      </c>
      <c r="C28" s="4" t="s">
        <v>173</v>
      </c>
      <c r="D28" s="76" t="s">
        <v>174</v>
      </c>
    </row>
    <row r="29" spans="1:6" ht="73.5">
      <c r="A29" s="87"/>
      <c r="B29" s="88"/>
      <c r="C29" s="5" t="s">
        <v>175</v>
      </c>
      <c r="D29" s="76" t="s">
        <v>176</v>
      </c>
      <c r="E29" s="72" t="s">
        <v>177</v>
      </c>
      <c r="F29" s="94" t="s">
        <v>178</v>
      </c>
    </row>
    <row r="30" spans="1:6" ht="25.5">
      <c r="A30" s="87"/>
      <c r="B30" s="88"/>
      <c r="C30" s="5"/>
      <c r="D30" s="76"/>
      <c r="E30" s="73" t="s">
        <v>179</v>
      </c>
      <c r="F30" s="74" t="s">
        <v>180</v>
      </c>
    </row>
    <row r="31" spans="1:6" ht="25.5">
      <c r="A31" s="87"/>
      <c r="B31" s="88"/>
      <c r="C31" s="6" t="s">
        <v>181</v>
      </c>
      <c r="D31" s="76" t="s">
        <v>182</v>
      </c>
      <c r="E31" s="72" t="s">
        <v>177</v>
      </c>
      <c r="F31" s="94" t="s">
        <v>183</v>
      </c>
    </row>
    <row r="32" spans="1:6" ht="73.5">
      <c r="A32" s="87"/>
      <c r="B32" s="88"/>
      <c r="C32" s="6"/>
      <c r="D32" s="76"/>
      <c r="E32" s="73" t="s">
        <v>179</v>
      </c>
      <c r="F32" s="74" t="s">
        <v>184</v>
      </c>
    </row>
    <row r="33" spans="1:6" ht="25.5">
      <c r="A33" s="87"/>
      <c r="B33" s="88"/>
      <c r="C33" s="6" t="s">
        <v>185</v>
      </c>
      <c r="D33" s="76" t="s">
        <v>186</v>
      </c>
      <c r="E33" s="72" t="s">
        <v>177</v>
      </c>
      <c r="F33" s="94" t="s">
        <v>187</v>
      </c>
    </row>
    <row r="34" spans="1:6" ht="61.5">
      <c r="A34" s="87"/>
      <c r="B34" s="88"/>
      <c r="C34" s="6"/>
      <c r="D34" s="76"/>
      <c r="E34" s="73" t="s">
        <v>179</v>
      </c>
      <c r="F34" s="74" t="s">
        <v>188</v>
      </c>
    </row>
    <row r="35" spans="1:6" ht="49.5">
      <c r="A35" s="89"/>
      <c r="B35" s="90"/>
      <c r="C35" s="6" t="s">
        <v>189</v>
      </c>
      <c r="D35" s="76" t="s">
        <v>190</v>
      </c>
      <c r="E35" s="72" t="s">
        <v>177</v>
      </c>
      <c r="F35" s="94" t="s">
        <v>191</v>
      </c>
    </row>
    <row r="36" spans="1:6" ht="36.75">
      <c r="A36" s="89"/>
      <c r="B36" s="90"/>
      <c r="C36" s="6"/>
      <c r="D36" s="6"/>
      <c r="E36" s="73" t="s">
        <v>179</v>
      </c>
      <c r="F36" s="74" t="s">
        <v>192</v>
      </c>
    </row>
    <row r="37" spans="1:6" ht="15.75">
      <c r="A37" s="78" t="s">
        <v>193</v>
      </c>
      <c r="B37" s="80" t="s">
        <v>194</v>
      </c>
    </row>
    <row r="38" spans="1:6">
      <c r="A38" s="78"/>
      <c r="B38" s="84"/>
    </row>
    <row r="39" spans="1:6">
      <c r="A39" s="78" t="s">
        <v>195</v>
      </c>
      <c r="B39" s="79" t="s">
        <v>196</v>
      </c>
    </row>
    <row r="40" spans="1:6" ht="15.75">
      <c r="A40" s="78" t="s">
        <v>197</v>
      </c>
      <c r="B40" s="80" t="s">
        <v>198</v>
      </c>
    </row>
    <row r="41" spans="1:6" ht="62.25">
      <c r="A41" s="87"/>
      <c r="B41" s="91"/>
      <c r="C41" s="5" t="s">
        <v>199</v>
      </c>
      <c r="D41" s="77" t="s">
        <v>200</v>
      </c>
      <c r="E41" s="72" t="s">
        <v>177</v>
      </c>
      <c r="F41" s="94" t="s">
        <v>201</v>
      </c>
    </row>
    <row r="42" spans="1:6" ht="25.5">
      <c r="A42" s="87"/>
      <c r="B42" s="91"/>
      <c r="C42" s="5"/>
      <c r="D42" s="5"/>
      <c r="E42" s="73" t="s">
        <v>179</v>
      </c>
      <c r="F42" s="74" t="s">
        <v>202</v>
      </c>
    </row>
    <row r="43" spans="1:6" ht="15.75">
      <c r="A43" s="78" t="s">
        <v>203</v>
      </c>
      <c r="B43" s="83" t="s">
        <v>204</v>
      </c>
    </row>
    <row r="44" spans="1:6" ht="15.75">
      <c r="A44" s="78" t="s">
        <v>205</v>
      </c>
      <c r="B44" s="83" t="s">
        <v>206</v>
      </c>
    </row>
    <row r="45" spans="1:6" ht="15.75">
      <c r="A45" s="78" t="s">
        <v>207</v>
      </c>
      <c r="B45" s="83" t="s">
        <v>208</v>
      </c>
    </row>
    <row r="46" spans="1:6" ht="37.5">
      <c r="A46" s="87"/>
      <c r="B46" s="91"/>
      <c r="C46" s="4" t="s">
        <v>209</v>
      </c>
      <c r="D46" s="76" t="s">
        <v>210</v>
      </c>
      <c r="E46" s="72" t="s">
        <v>177</v>
      </c>
      <c r="F46" s="94" t="s">
        <v>211</v>
      </c>
    </row>
    <row r="47" spans="1:6" ht="15.75">
      <c r="A47" s="78" t="s">
        <v>212</v>
      </c>
      <c r="B47" s="83" t="s">
        <v>213</v>
      </c>
      <c r="D47" s="75"/>
      <c r="E47" s="73" t="s">
        <v>179</v>
      </c>
      <c r="F47" s="74" t="s">
        <v>214</v>
      </c>
    </row>
    <row r="48" spans="1:6" ht="73.5">
      <c r="A48" s="92"/>
      <c r="B48" s="93"/>
      <c r="C48" s="5" t="s">
        <v>215</v>
      </c>
      <c r="D48" s="76" t="s">
        <v>216</v>
      </c>
      <c r="E48" s="72" t="s">
        <v>177</v>
      </c>
      <c r="F48" s="94" t="s">
        <v>217</v>
      </c>
    </row>
    <row r="49" spans="3:6" ht="48.75">
      <c r="E49" s="72" t="s">
        <v>218</v>
      </c>
      <c r="F49" s="94" t="s">
        <v>219</v>
      </c>
    </row>
    <row r="54" spans="3:6">
      <c r="C54" s="3" t="s">
        <v>220</v>
      </c>
    </row>
    <row r="55" spans="3:6">
      <c r="C55" s="3" t="s">
        <v>221</v>
      </c>
    </row>
    <row r="56" spans="3:6">
      <c r="C56" s="3" t="s">
        <v>222</v>
      </c>
    </row>
    <row r="57" spans="3:6">
      <c r="C57" s="3" t="s">
        <v>223</v>
      </c>
    </row>
    <row r="58" spans="3:6">
      <c r="C58" s="3" t="s">
        <v>224</v>
      </c>
    </row>
    <row r="59" spans="3:6">
      <c r="C59" s="3" t="s">
        <v>225</v>
      </c>
    </row>
    <row r="60" spans="3:6">
      <c r="C60" s="3" t="s">
        <v>226</v>
      </c>
    </row>
    <row r="61" spans="3:6">
      <c r="C61" s="3" t="s">
        <v>227</v>
      </c>
    </row>
    <row r="62" spans="3:6">
      <c r="C62" s="3" t="s">
        <v>228</v>
      </c>
    </row>
    <row r="63" spans="3:6">
      <c r="C63" s="3" t="s">
        <v>229</v>
      </c>
    </row>
    <row r="64" spans="3:6">
      <c r="C64" s="3" t="s">
        <v>230</v>
      </c>
    </row>
    <row r="65" spans="3:3">
      <c r="C65" s="3" t="s">
        <v>231</v>
      </c>
    </row>
    <row r="66" spans="3:3">
      <c r="C66" s="3" t="s">
        <v>232</v>
      </c>
    </row>
    <row r="67" spans="3:3">
      <c r="C67" s="3" t="s">
        <v>233</v>
      </c>
    </row>
    <row r="68" spans="3:3">
      <c r="C68" s="3" t="s">
        <v>234</v>
      </c>
    </row>
    <row r="69" spans="3:3">
      <c r="C69" s="3" t="s">
        <v>235</v>
      </c>
    </row>
    <row r="70" spans="3:3">
      <c r="C70" s="3" t="s">
        <v>236</v>
      </c>
    </row>
    <row r="71" spans="3:3">
      <c r="C71" s="3" t="s">
        <v>237</v>
      </c>
    </row>
    <row r="72" spans="3:3">
      <c r="C72" s="3" t="s">
        <v>238</v>
      </c>
    </row>
    <row r="73" spans="3:3">
      <c r="C73" s="3" t="s">
        <v>239</v>
      </c>
    </row>
    <row r="74" spans="3:3">
      <c r="C74" s="3" t="s">
        <v>240</v>
      </c>
    </row>
    <row r="75" spans="3:3">
      <c r="C75" s="3" t="s">
        <v>241</v>
      </c>
    </row>
    <row r="76" spans="3:3">
      <c r="C76" s="3" t="s">
        <v>242</v>
      </c>
    </row>
    <row r="77" spans="3:3">
      <c r="C77" s="3" t="s">
        <v>243</v>
      </c>
    </row>
    <row r="78" spans="3:3">
      <c r="C78" s="3" t="s">
        <v>244</v>
      </c>
    </row>
    <row r="79" spans="3:3">
      <c r="C79" s="3" t="s">
        <v>245</v>
      </c>
    </row>
    <row r="80" spans="3:3">
      <c r="C80" s="3" t="s">
        <v>246</v>
      </c>
    </row>
    <row r="81" spans="3:3">
      <c r="C81" s="3" t="s">
        <v>247</v>
      </c>
    </row>
    <row r="82" spans="3:3">
      <c r="C82" s="3" t="s">
        <v>248</v>
      </c>
    </row>
    <row r="83" spans="3:3">
      <c r="C83" s="3" t="s">
        <v>249</v>
      </c>
    </row>
    <row r="84" spans="3:3">
      <c r="C84" s="3" t="s">
        <v>250</v>
      </c>
    </row>
    <row r="85" spans="3:3">
      <c r="C85" s="3" t="s">
        <v>251</v>
      </c>
    </row>
    <row r="87" spans="3:3">
      <c r="C87" s="3" t="s">
        <v>252</v>
      </c>
    </row>
    <row r="88" spans="3:3">
      <c r="C88" s="3" t="s">
        <v>253</v>
      </c>
    </row>
    <row r="89" spans="3:3">
      <c r="C89" s="3" t="s">
        <v>254</v>
      </c>
    </row>
    <row r="90" spans="3:3">
      <c r="C90" s="3" t="s">
        <v>255</v>
      </c>
    </row>
    <row r="91" spans="3:3">
      <c r="C91" s="3" t="s">
        <v>256</v>
      </c>
    </row>
    <row r="92" spans="3:3">
      <c r="C92" s="3" t="s">
        <v>257</v>
      </c>
    </row>
    <row r="93" spans="3:3">
      <c r="C93" s="3" t="s">
        <v>258</v>
      </c>
    </row>
    <row r="94" spans="3:3">
      <c r="C94" s="3" t="s">
        <v>259</v>
      </c>
    </row>
    <row r="95" spans="3:3">
      <c r="C95" s="3" t="s">
        <v>260</v>
      </c>
    </row>
    <row r="96" spans="3:3">
      <c r="C96" s="3" t="s">
        <v>261</v>
      </c>
    </row>
    <row r="97" spans="3:3">
      <c r="C97" s="3" t="s">
        <v>262</v>
      </c>
    </row>
    <row r="98" spans="3:3">
      <c r="C98" s="3" t="s">
        <v>263</v>
      </c>
    </row>
  </sheetData>
  <mergeCells count="2">
    <mergeCell ref="A1:B1"/>
    <mergeCell ref="C1:D1"/>
  </mergeCells>
  <phoneticPr fontId="8" type="noConversion"/>
  <pageMargins left="0.7" right="0.7" top="0.75" bottom="0.75" header="0.3" footer="0.3"/>
  <pageSetup paperSize="9" orientation="portrait" horizontalDpi="90" verticalDpi="90"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Grupo Caixabank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Autor</dc:creator>
  <cp:keywords/>
  <dc:description/>
  <cp:lastModifiedBy/>
  <cp:revision/>
  <dcterms:created xsi:type="dcterms:W3CDTF">2022-11-14T14:59:24Z</dcterms:created>
  <dcterms:modified xsi:type="dcterms:W3CDTF">2023-01-23T07:19:06Z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2c11c9e-624c-4a75-9f78-0989052ff6ea_Enabled">
    <vt:lpwstr>true</vt:lpwstr>
  </property>
  <property fmtid="{D5CDD505-2E9C-101B-9397-08002B2CF9AE}" pid="3" name="MSIP_Label_c2c11c9e-624c-4a75-9f78-0989052ff6ea_SetDate">
    <vt:lpwstr>2022-11-14T16:24:35Z</vt:lpwstr>
  </property>
  <property fmtid="{D5CDD505-2E9C-101B-9397-08002B2CF9AE}" pid="4" name="MSIP_Label_c2c11c9e-624c-4a75-9f78-0989052ff6ea_Method">
    <vt:lpwstr>Standard</vt:lpwstr>
  </property>
  <property fmtid="{D5CDD505-2E9C-101B-9397-08002B2CF9AE}" pid="5" name="MSIP_Label_c2c11c9e-624c-4a75-9f78-0989052ff6ea_Name">
    <vt:lpwstr>c2c11c9e-624c-4a75-9f78-0989052ff6ea</vt:lpwstr>
  </property>
  <property fmtid="{D5CDD505-2E9C-101B-9397-08002B2CF9AE}" pid="6" name="MSIP_Label_c2c11c9e-624c-4a75-9f78-0989052ff6ea_SiteId">
    <vt:lpwstr>5df31d35-3ba9-481e-a3c8-ff9be3ee783b</vt:lpwstr>
  </property>
  <property fmtid="{D5CDD505-2E9C-101B-9397-08002B2CF9AE}" pid="7" name="MSIP_Label_c2c11c9e-624c-4a75-9f78-0989052ff6ea_ActionId">
    <vt:lpwstr>ea445176-a1cf-430c-ad45-b9300e883665</vt:lpwstr>
  </property>
  <property fmtid="{D5CDD505-2E9C-101B-9397-08002B2CF9AE}" pid="8" name="MSIP_Label_c2c11c9e-624c-4a75-9f78-0989052ff6ea_ContentBits">
    <vt:lpwstr>0</vt:lpwstr>
  </property>
</Properties>
</file>