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nasfspxpcd1.lacaixa.glc.es\VUSER01\u01a5828\Desktop\BEI\BEI AGRI\"/>
    </mc:Choice>
  </mc:AlternateContent>
  <xr:revisionPtr revIDLastSave="0" documentId="8_{B2521654-CB62-42D2-A50D-565E3DF94ACE}" xr6:coauthVersionLast="47" xr6:coauthVersionMax="47" xr10:uidLastSave="{00000000-0000-0000-0000-000000000000}"/>
  <bookViews>
    <workbookView xWindow="-105" yWindow="-105" windowWidth="19425" windowHeight="10425" xr2:uid="{00000000-000D-0000-FFFF-FFFF00000000}"/>
  </bookViews>
  <sheets>
    <sheet name="(ES) Ejemplo formula de minimis" sheetId="5" r:id="rId1"/>
    <sheet name="Hoja1"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5" l="1"/>
  <c r="C15" i="5"/>
  <c r="C6" i="5"/>
  <c r="C14" i="5" s="1"/>
  <c r="C19" i="5" l="1"/>
  <c r="C10" i="5"/>
  <c r="C11" i="5" s="1"/>
</calcChain>
</file>

<file path=xl/sharedStrings.xml><?xml version="1.0" encoding="utf-8"?>
<sst xmlns="http://schemas.openxmlformats.org/spreadsheetml/2006/main" count="22" uniqueCount="22">
  <si>
    <r>
      <rPr>
        <b/>
        <sz val="11"/>
        <color rgb="FFFF0000"/>
        <rFont val="Calibri"/>
        <family val="2"/>
        <scheme val="minor"/>
      </rPr>
      <t>Disclaimer:</t>
    </r>
    <r>
      <rPr>
        <sz val="11"/>
        <color theme="1"/>
        <rFont val="Calibri"/>
        <family val="2"/>
        <scheme val="minor"/>
      </rPr>
      <t xml:space="preserve"> Document provided for indicative purporses only.  EIB does not accept any responsibility for or obligation or duty with respect to any part or all of the document of any nature or kind. The EIB shall not be held liable or responsible for the use of this document and its accuracy.</t>
    </r>
  </si>
  <si>
    <t>Celdas a completar</t>
  </si>
  <si>
    <t xml:space="preserve">Tasa de la Garantía </t>
  </si>
  <si>
    <t>Préstamo subyacente</t>
  </si>
  <si>
    <t>Extracto metodología artículo 10 del anexo 12 "General Undertaking"</t>
  </si>
  <si>
    <t>Vencimiento en años</t>
  </si>
  <si>
    <t>Reglamento 1407/2013.</t>
  </si>
  <si>
    <t xml:space="preserve">For Final Recipients falling outside of the category of an SME (i.e. Large Entreprises) a formula will be used based on the provisions of Art. 4.6(b) of the De Minimis Regulation. With the latter simplified methodology, Final Recipient Transactions may not have an initial maturity of more than 120 months and the GGE shall be calculated as follows: </t>
  </si>
  <si>
    <t>Separación del préstamo</t>
  </si>
  <si>
    <t>GGE = Final Recipient Transaction principal amount x Guarantee Rate x Min(Final Recipient Transaction Maturity in years; 10) x 200/(1500*5).</t>
  </si>
  <si>
    <t>Parte Garantizada del préstamo subyacente</t>
  </si>
  <si>
    <t>Parte del prestamo subyacente a riesgo del Intermediario Financiero</t>
  </si>
  <si>
    <t>Cálculo</t>
  </si>
  <si>
    <t>A</t>
  </si>
  <si>
    <t>B</t>
  </si>
  <si>
    <t>C</t>
  </si>
  <si>
    <t>Equivalente de Subvención Bruta</t>
  </si>
  <si>
    <t>Bajo el Anexo I del TFUE</t>
  </si>
  <si>
    <t>ESB ≤ 50% de los Costes Elegibles totales</t>
  </si>
  <si>
    <t>Pymes y no pymes</t>
  </si>
  <si>
    <t>Fuera del Anexo I del TFUE</t>
  </si>
  <si>
    <t>ESB ≤ 50% de los Costes Elegibles totales y sujeto a los límites mínimis (200.000€)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</si>
</sst>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0">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0"/>
      <color rgb="FF000000"/>
      <name val="Arial"/>
      <family val="2"/>
    </font>
    <font>
      <b/>
      <sz val="11"/>
      <color rgb="FFFF0000"/>
      <name val="Calibri"/>
      <family val="2"/>
      <scheme val="minor"/>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theme="0"/>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2" fillId="2" borderId="1" applyNumberFormat="0" applyAlignment="0" applyProtection="0"/>
    <xf numFmtId="0" fontId="3" fillId="3" borderId="2" applyNumberFormat="0" applyAlignment="0" applyProtection="0"/>
    <xf numFmtId="0" fontId="4" fillId="3" borderId="1" applyNumberFormat="0" applyAlignment="0" applyProtection="0"/>
    <xf numFmtId="0" fontId="6" fillId="0" borderId="0" applyNumberFormat="0" applyFill="0" applyBorder="0" applyAlignment="0" applyProtection="0"/>
  </cellStyleXfs>
  <cellXfs count="23">
    <xf numFmtId="0" fontId="0" fillId="0" borderId="0" xfId="0"/>
    <xf numFmtId="0" fontId="0" fillId="0" borderId="0" xfId="0" applyProtection="1">
      <protection locked="0"/>
    </xf>
    <xf numFmtId="0" fontId="5" fillId="0" borderId="0" xfId="0" applyFont="1" applyProtection="1">
      <protection locked="0"/>
    </xf>
    <xf numFmtId="0" fontId="2" fillId="2" borderId="1" xfId="2" applyProtection="1">
      <protection locked="0"/>
    </xf>
    <xf numFmtId="9" fontId="2" fillId="2" borderId="1" xfId="2" applyNumberFormat="1" applyProtection="1">
      <protection locked="0"/>
    </xf>
    <xf numFmtId="165" fontId="2" fillId="2" borderId="1" xfId="1" applyNumberFormat="1" applyFont="1" applyFill="1" applyBorder="1" applyProtection="1">
      <protection locked="0"/>
    </xf>
    <xf numFmtId="165" fontId="0" fillId="0" borderId="0" xfId="0" applyNumberFormat="1" applyProtection="1">
      <protection locked="0"/>
    </xf>
    <xf numFmtId="0" fontId="6" fillId="0" borderId="0" xfId="5" applyProtection="1">
      <protection locked="0"/>
    </xf>
    <xf numFmtId="0" fontId="7" fillId="0" borderId="0" xfId="2" applyFont="1" applyFill="1" applyBorder="1" applyProtection="1">
      <protection locked="0"/>
    </xf>
    <xf numFmtId="0" fontId="2" fillId="0" borderId="0" xfId="2" applyFill="1" applyBorder="1" applyProtection="1">
      <protection locked="0"/>
    </xf>
    <xf numFmtId="0" fontId="4" fillId="3" borderId="1" xfId="4" applyAlignment="1" applyProtection="1">
      <alignment horizontal="center"/>
      <protection locked="0"/>
    </xf>
    <xf numFmtId="165" fontId="4" fillId="3" borderId="1" xfId="4" applyNumberFormat="1" applyProtection="1">
      <protection locked="0"/>
    </xf>
    <xf numFmtId="0" fontId="4" fillId="3" borderId="1" xfId="4" applyProtection="1">
      <protection locked="0"/>
    </xf>
    <xf numFmtId="164" fontId="4" fillId="3" borderId="1" xfId="1" applyFont="1" applyFill="1" applyBorder="1" applyProtection="1">
      <protection locked="0"/>
    </xf>
    <xf numFmtId="0" fontId="3" fillId="3" borderId="3" xfId="3" applyBorder="1" applyAlignment="1" applyProtection="1">
      <alignment horizontal="center"/>
      <protection locked="0"/>
    </xf>
    <xf numFmtId="164" fontId="3" fillId="3" borderId="3" xfId="1" applyFont="1" applyFill="1" applyBorder="1" applyProtection="1">
      <protection locked="0"/>
    </xf>
    <xf numFmtId="0" fontId="0" fillId="4" borderId="0" xfId="0" applyFill="1"/>
    <xf numFmtId="0" fontId="0" fillId="4" borderId="0" xfId="0" applyFill="1" applyAlignment="1">
      <alignment wrapText="1"/>
    </xf>
    <xf numFmtId="0" fontId="0" fillId="4" borderId="0" xfId="0" applyFill="1" applyAlignment="1">
      <alignment vertical="center"/>
    </xf>
    <xf numFmtId="4" fontId="0" fillId="0" borderId="0" xfId="0" applyNumberFormat="1" applyProtection="1">
      <protection locked="0"/>
    </xf>
    <xf numFmtId="0" fontId="8" fillId="0" borderId="0" xfId="0" applyFont="1" applyAlignment="1" applyProtection="1">
      <alignment horizontal="left" vertical="center" wrapText="1"/>
      <protection locked="0"/>
    </xf>
    <xf numFmtId="0" fontId="0" fillId="0" borderId="4" xfId="0" applyBorder="1" applyAlignment="1">
      <alignment horizontal="left" vertical="center" wrapText="1"/>
    </xf>
    <xf numFmtId="0" fontId="0" fillId="0" borderId="5" xfId="0" applyBorder="1" applyAlignment="1">
      <alignment horizontal="left" vertical="center" wrapText="1"/>
    </xf>
  </cellXfs>
  <cellStyles count="6">
    <cellStyle name="Cálculo" xfId="4" builtinId="22"/>
    <cellStyle name="Entrada" xfId="2" builtinId="20"/>
    <cellStyle name="Hipervínculo" xfId="5" builtinId="8"/>
    <cellStyle name="Millares" xfId="1" builtinId="3"/>
    <cellStyle name="Normal" xfId="0" builtinId="0"/>
    <cellStyle name="Salida"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412750</xdr:colOff>
      <xdr:row>9</xdr:row>
      <xdr:rowOff>120650</xdr:rowOff>
    </xdr:from>
    <xdr:to>
      <xdr:col>8</xdr:col>
      <xdr:colOff>257451</xdr:colOff>
      <xdr:row>21</xdr:row>
      <xdr:rowOff>69961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61100" y="2552700"/>
          <a:ext cx="5372376" cy="2159111"/>
        </a:xfrm>
        <a:prstGeom prst="rect">
          <a:avLst/>
        </a:prstGeom>
      </xdr:spPr>
    </xdr:pic>
    <xdr:clientData/>
  </xdr:twoCellAnchor>
  <xdr:twoCellAnchor editAs="oneCell">
    <xdr:from>
      <xdr:col>1</xdr:col>
      <xdr:colOff>0</xdr:colOff>
      <xdr:row>25</xdr:row>
      <xdr:rowOff>0</xdr:rowOff>
    </xdr:from>
    <xdr:to>
      <xdr:col>1</xdr:col>
      <xdr:colOff>2885714</xdr:colOff>
      <xdr:row>39</xdr:row>
      <xdr:rowOff>190143</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1925" y="6543675"/>
          <a:ext cx="2885714" cy="2857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ur-lex.europa.eu/legal-content/EN/TXT/?uri=CELEX%3A02013R1407-202007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6"/>
  <sheetViews>
    <sheetView tabSelected="1" workbookViewId="0">
      <pane ySplit="2" topLeftCell="A3" activePane="bottomLeft" state="frozen"/>
      <selection pane="bottomLeft" activeCell="C8" sqref="C8"/>
    </sheetView>
  </sheetViews>
  <sheetFormatPr defaultColWidth="8.7109375" defaultRowHeight="15"/>
  <cols>
    <col min="1" max="1" width="2.42578125" style="1" customWidth="1"/>
    <col min="2" max="2" width="57.7109375" style="1" bestFit="1" customWidth="1"/>
    <col min="3" max="3" width="13.5703125" style="1" bestFit="1" customWidth="1"/>
    <col min="4" max="4" width="10" style="1" bestFit="1" customWidth="1"/>
    <col min="5" max="5" width="10.5703125" style="1" bestFit="1" customWidth="1"/>
    <col min="6" max="6" width="51.140625" style="1" customWidth="1"/>
    <col min="7" max="16384" width="8.7109375" style="1"/>
  </cols>
  <sheetData>
    <row r="1" spans="2:10" ht="15.75" thickBot="1"/>
    <row r="2" spans="2:10" ht="78.599999999999994" customHeight="1" thickBot="1">
      <c r="B2" s="21" t="s">
        <v>0</v>
      </c>
      <c r="C2" s="22"/>
    </row>
    <row r="4" spans="2:10">
      <c r="B4" s="2" t="s">
        <v>1</v>
      </c>
    </row>
    <row r="5" spans="2:10">
      <c r="B5" s="3" t="s">
        <v>2</v>
      </c>
      <c r="C5" s="4">
        <v>0.8</v>
      </c>
    </row>
    <row r="6" spans="2:10">
      <c r="B6" s="3" t="s">
        <v>3</v>
      </c>
      <c r="C6" s="5">
        <f>1000000/0.8</f>
        <v>1250000</v>
      </c>
      <c r="D6" s="6"/>
      <c r="F6" s="2" t="s">
        <v>4</v>
      </c>
    </row>
    <row r="7" spans="2:10">
      <c r="B7" s="3" t="s">
        <v>5</v>
      </c>
      <c r="C7" s="3">
        <v>7</v>
      </c>
      <c r="J7" s="7" t="s">
        <v>6</v>
      </c>
    </row>
    <row r="8" spans="2:10" ht="63.6" customHeight="1">
      <c r="F8" s="20" t="s">
        <v>7</v>
      </c>
      <c r="G8" s="20"/>
      <c r="H8" s="20"/>
    </row>
    <row r="9" spans="2:10" ht="44.1" customHeight="1">
      <c r="B9" s="2" t="s">
        <v>8</v>
      </c>
      <c r="F9" s="20" t="s">
        <v>9</v>
      </c>
      <c r="G9" s="20"/>
      <c r="H9" s="20"/>
    </row>
    <row r="10" spans="2:10">
      <c r="B10" s="8" t="s">
        <v>10</v>
      </c>
      <c r="C10" s="6">
        <f>C6*C5</f>
        <v>1000000</v>
      </c>
    </row>
    <row r="11" spans="2:10">
      <c r="B11" s="8" t="s">
        <v>11</v>
      </c>
      <c r="C11" s="6">
        <f>C6-C10</f>
        <v>250000</v>
      </c>
    </row>
    <row r="12" spans="2:10">
      <c r="B12" s="9"/>
    </row>
    <row r="13" spans="2:10">
      <c r="B13" s="2" t="s">
        <v>12</v>
      </c>
    </row>
    <row r="14" spans="2:10">
      <c r="B14" s="10" t="s">
        <v>13</v>
      </c>
      <c r="C14" s="11">
        <f>C6</f>
        <v>1250000</v>
      </c>
    </row>
    <row r="15" spans="2:10">
      <c r="B15" s="10" t="s">
        <v>14</v>
      </c>
      <c r="C15" s="12">
        <f>MIN(C7,10)</f>
        <v>7</v>
      </c>
    </row>
    <row r="16" spans="2:10">
      <c r="B16" s="10" t="s">
        <v>15</v>
      </c>
      <c r="C16" s="13">
        <f>200/(1500*5)</f>
        <v>2.6666666666666668E-2</v>
      </c>
    </row>
    <row r="19" spans="2:5">
      <c r="B19" s="14" t="s">
        <v>16</v>
      </c>
      <c r="C19" s="15">
        <f>C14*C5*C15*C16</f>
        <v>186666.66666666669</v>
      </c>
    </row>
    <row r="25" spans="2:5">
      <c r="C25" s="19">
        <v>100000</v>
      </c>
      <c r="E25" s="6"/>
    </row>
    <row r="26" spans="2:5">
      <c r="E26" s="6"/>
    </row>
  </sheetData>
  <sheetProtection algorithmName="SHA-512" hashValue="XGn/nf27/mx63DavGxSxIYJsCU9GhDIVEvoW/5fQ+E5juV/gPuTVzrNSvW2/8ro8I7QQx4mBiCfpcC16AZDaQQ==" saltValue="gAwuGRdlmo9mgm4U5K5bbg==" spinCount="100000" sheet="1" formatCells="0" insertColumns="0" insertRows="0" insertHyperlinks="0" deleteColumns="0" deleteRows="0" sort="0" autoFilter="0" pivotTables="0"/>
  <mergeCells count="3">
    <mergeCell ref="F8:H8"/>
    <mergeCell ref="F9:H9"/>
    <mergeCell ref="B2:C2"/>
  </mergeCells>
  <hyperlinks>
    <hyperlink ref="J7"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D5" sqref="D5"/>
    </sheetView>
  </sheetViews>
  <sheetFormatPr defaultColWidth="11.42578125" defaultRowHeight="15"/>
  <cols>
    <col min="2" max="2" width="7" customWidth="1"/>
    <col min="3" max="3" width="26" customWidth="1"/>
    <col min="4" max="4" width="21.28515625" customWidth="1"/>
  </cols>
  <sheetData>
    <row r="1" spans="1:6">
      <c r="A1" s="16"/>
      <c r="B1" s="16"/>
      <c r="C1" s="16"/>
      <c r="D1" s="16"/>
      <c r="E1" s="16"/>
      <c r="F1" s="16"/>
    </row>
    <row r="2" spans="1:6">
      <c r="A2" s="16"/>
      <c r="B2" s="16"/>
      <c r="E2" s="16"/>
      <c r="F2" s="16"/>
    </row>
    <row r="3" spans="1:6" ht="45">
      <c r="A3" s="16"/>
      <c r="B3" s="16"/>
      <c r="C3" s="18" t="s">
        <v>17</v>
      </c>
      <c r="D3" s="17" t="s">
        <v>18</v>
      </c>
      <c r="E3" s="16"/>
      <c r="F3" s="16"/>
    </row>
    <row r="4" spans="1:6">
      <c r="A4" s="16" t="s">
        <v>19</v>
      </c>
      <c r="B4" s="16"/>
      <c r="C4" s="16"/>
      <c r="D4" s="16"/>
      <c r="E4" s="16"/>
      <c r="F4" s="16"/>
    </row>
    <row r="5" spans="1:6" ht="75">
      <c r="B5" s="16"/>
      <c r="C5" s="18" t="s">
        <v>20</v>
      </c>
      <c r="D5" s="17" t="s">
        <v>21</v>
      </c>
      <c r="E5" s="16"/>
      <c r="F5" s="16"/>
    </row>
    <row r="6" spans="1:6">
      <c r="A6" s="16"/>
      <c r="B6" s="16"/>
      <c r="C6" s="16"/>
      <c r="D6" s="16"/>
      <c r="E6" s="16"/>
      <c r="F6" s="16"/>
    </row>
    <row r="7" spans="1:6">
      <c r="A7" s="16"/>
      <c r="B7" s="16"/>
      <c r="C7" s="16"/>
      <c r="D7" s="16"/>
      <c r="E7" s="16"/>
      <c r="F7" s="16"/>
    </row>
    <row r="8" spans="1:6">
      <c r="A8" s="16"/>
      <c r="B8" s="16"/>
      <c r="C8" s="16"/>
      <c r="D8" s="16"/>
      <c r="E8" s="16"/>
      <c r="F8" s="16"/>
    </row>
    <row r="9" spans="1:6">
      <c r="D9" s="16"/>
      <c r="E9" s="16"/>
      <c r="F9"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European Investment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BERNABEU VERDU Roberto</dc:creator>
  <cp:keywords/>
  <dc:description/>
  <cp:lastModifiedBy/>
  <cp:revision/>
  <dcterms:created xsi:type="dcterms:W3CDTF">2021-04-28T12:24:37Z</dcterms:created>
  <dcterms:modified xsi:type="dcterms:W3CDTF">2023-02-03T12:32:18Z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2c11c9e-624c-4a75-9f78-0989052ff6ea_Enabled">
    <vt:lpwstr>true</vt:lpwstr>
  </property>
  <property fmtid="{D5CDD505-2E9C-101B-9397-08002B2CF9AE}" pid="3" name="MSIP_Label_c2c11c9e-624c-4a75-9f78-0989052ff6ea_SetDate">
    <vt:lpwstr>2022-03-15T08:28:51Z</vt:lpwstr>
  </property>
  <property fmtid="{D5CDD505-2E9C-101B-9397-08002B2CF9AE}" pid="4" name="MSIP_Label_c2c11c9e-624c-4a75-9f78-0989052ff6ea_Method">
    <vt:lpwstr>Privileged</vt:lpwstr>
  </property>
  <property fmtid="{D5CDD505-2E9C-101B-9397-08002B2CF9AE}" pid="5" name="MSIP_Label_c2c11c9e-624c-4a75-9f78-0989052ff6ea_Name">
    <vt:lpwstr>c2c11c9e-624c-4a75-9f78-0989052ff6ea</vt:lpwstr>
  </property>
  <property fmtid="{D5CDD505-2E9C-101B-9397-08002B2CF9AE}" pid="6" name="MSIP_Label_c2c11c9e-624c-4a75-9f78-0989052ff6ea_SiteId">
    <vt:lpwstr>5df31d35-3ba9-481e-a3c8-ff9be3ee783b</vt:lpwstr>
  </property>
  <property fmtid="{D5CDD505-2E9C-101B-9397-08002B2CF9AE}" pid="7" name="MSIP_Label_c2c11c9e-624c-4a75-9f78-0989052ff6ea_ActionId">
    <vt:lpwstr>f287b617-a19d-4dcf-8128-7f5b51368316</vt:lpwstr>
  </property>
  <property fmtid="{D5CDD505-2E9C-101B-9397-08002B2CF9AE}" pid="8" name="MSIP_Label_c2c11c9e-624c-4a75-9f78-0989052ff6ea_ContentBits">
    <vt:lpwstr>0</vt:lpwstr>
  </property>
</Properties>
</file>